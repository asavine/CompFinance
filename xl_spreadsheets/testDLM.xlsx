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rnardo\dev\my_repos\CompFinance\"/>
    </mc:Choice>
  </mc:AlternateContent>
  <xr:revisionPtr revIDLastSave="0" documentId="13_ncr:1_{B5DC78A1-D274-4D92-9BA3-DB0DF8B5BD21}" xr6:coauthVersionLast="47" xr6:coauthVersionMax="47" xr10:uidLastSave="{00000000-0000-0000-0000-000000000000}"/>
  <bookViews>
    <workbookView xWindow="-27634" yWindow="926" windowWidth="24685" windowHeight="13114" activeTab="3" xr2:uid="{00000000-000D-0000-FFFF-FFFF00000000}"/>
  </bookViews>
  <sheets>
    <sheet name="Sheet1" sheetId="1" r:id="rId1"/>
    <sheet name="Sheet1 (2)" sheetId="2" r:id="rId2"/>
    <sheet name="Sheet1 (3)" sheetId="3" r:id="rId3"/>
    <sheet name="Sheet1 (4)" sheetId="5" r:id="rId4"/>
  </sheets>
  <calcPr calcId="191029" calcMode="manual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2" i="5" l="1"/>
  <c r="F11" i="5"/>
  <c r="E11" i="5"/>
  <c r="I6" i="5" a="1"/>
  <c r="I6" i="5" s="1"/>
  <c r="AA35" i="3"/>
  <c r="AA34" i="3"/>
  <c r="AA33" i="3"/>
  <c r="W18" i="1"/>
  <c r="W17" i="1"/>
  <c r="W16" i="1"/>
  <c r="D16" i="5"/>
  <c r="D27" i="5"/>
  <c r="J6" i="5" l="1"/>
  <c r="K6" i="5"/>
  <c r="E32" i="3"/>
  <c r="M27" i="5" a="1"/>
  <c r="D28" i="5"/>
  <c r="T3" i="1"/>
  <c r="V45" i="5" l="1"/>
  <c r="T44" i="5"/>
  <c r="W27" i="5"/>
  <c r="X42" i="5"/>
  <c r="X45" i="5"/>
  <c r="N35" i="5"/>
  <c r="W31" i="5"/>
  <c r="N27" i="5"/>
  <c r="N25" i="5" s="1"/>
  <c r="O31" i="5"/>
  <c r="X39" i="5"/>
  <c r="T42" i="5"/>
  <c r="M43" i="5"/>
  <c r="V37" i="5"/>
  <c r="O45" i="5"/>
  <c r="O33" i="5"/>
  <c r="R28" i="5"/>
  <c r="P27" i="5"/>
  <c r="Y46" i="5"/>
  <c r="W45" i="5"/>
  <c r="S31" i="5"/>
  <c r="R27" i="5"/>
  <c r="P42" i="5"/>
  <c r="W38" i="5"/>
  <c r="S35" i="5"/>
  <c r="M32" i="5"/>
  <c r="R32" i="5"/>
  <c r="T43" i="5"/>
  <c r="P46" i="5"/>
  <c r="V46" i="5"/>
  <c r="Y38" i="5"/>
  <c r="P29" i="5"/>
  <c r="U35" i="5"/>
  <c r="N32" i="5"/>
  <c r="S28" i="5"/>
  <c r="Q27" i="5"/>
  <c r="N41" i="5"/>
  <c r="O35" i="5"/>
  <c r="U28" i="5"/>
  <c r="V44" i="5"/>
  <c r="S42" i="5"/>
  <c r="R40" i="5"/>
  <c r="S34" i="5"/>
  <c r="U33" i="5"/>
  <c r="N30" i="5"/>
  <c r="T36" i="5"/>
  <c r="W30" i="5"/>
  <c r="O40" i="5"/>
  <c r="R35" i="5"/>
  <c r="Q39" i="5"/>
  <c r="T34" i="5"/>
  <c r="S30" i="5"/>
  <c r="U46" i="5"/>
  <c r="N29" i="5"/>
  <c r="Y28" i="5"/>
  <c r="P28" i="5"/>
  <c r="Q30" i="5"/>
  <c r="R38" i="5"/>
  <c r="Y31" i="5"/>
  <c r="U31" i="5"/>
  <c r="P45" i="5"/>
  <c r="X46" i="5"/>
  <c r="X32" i="5"/>
  <c r="O42" i="5"/>
  <c r="S27" i="5"/>
  <c r="O38" i="5"/>
  <c r="T41" i="5"/>
  <c r="P35" i="5"/>
  <c r="S44" i="5"/>
  <c r="X38" i="5"/>
  <c r="V29" i="5"/>
  <c r="T28" i="5"/>
  <c r="W44" i="5"/>
  <c r="U37" i="5"/>
  <c r="X29" i="5"/>
  <c r="T27" i="5"/>
  <c r="Y44" i="5"/>
  <c r="Q45" i="5"/>
  <c r="V35" i="5"/>
  <c r="X34" i="5"/>
  <c r="T32" i="5"/>
  <c r="V31" i="5"/>
  <c r="R39" i="5"/>
  <c r="R41" i="5"/>
  <c r="Q40" i="5"/>
  <c r="P44" i="5"/>
  <c r="V40" i="5"/>
  <c r="U42" i="5"/>
  <c r="M44" i="5"/>
  <c r="U45" i="5"/>
  <c r="O32" i="5"/>
  <c r="W33" i="5"/>
  <c r="M45" i="5"/>
  <c r="V33" i="5"/>
  <c r="Q34" i="5"/>
  <c r="Q37" i="5"/>
  <c r="W42" i="5"/>
  <c r="X43" i="5"/>
  <c r="X41" i="5"/>
  <c r="V27" i="5"/>
  <c r="Y37" i="5"/>
  <c r="X35" i="5"/>
  <c r="Q42" i="5"/>
  <c r="U32" i="5"/>
  <c r="U41" i="5"/>
  <c r="Y35" i="5"/>
  <c r="P37" i="5"/>
  <c r="W35" i="5"/>
  <c r="O29" i="5"/>
  <c r="O37" i="5"/>
  <c r="Y43" i="5"/>
  <c r="N33" i="5"/>
  <c r="V39" i="5"/>
  <c r="Y41" i="5"/>
  <c r="T31" i="5"/>
  <c r="X33" i="5"/>
  <c r="P31" i="5"/>
  <c r="P33" i="5"/>
  <c r="V38" i="5"/>
  <c r="S32" i="5"/>
  <c r="P39" i="5"/>
  <c r="X44" i="5"/>
  <c r="V28" i="5"/>
  <c r="O44" i="5"/>
  <c r="Q43" i="5"/>
  <c r="Y29" i="5"/>
  <c r="Y30" i="5"/>
  <c r="W29" i="5"/>
  <c r="U27" i="5"/>
  <c r="Q41" i="5"/>
  <c r="N31" i="5"/>
  <c r="M30" i="5"/>
  <c r="M29" i="5"/>
  <c r="U30" i="5"/>
  <c r="Y36" i="5"/>
  <c r="N36" i="5"/>
  <c r="P36" i="5"/>
  <c r="X37" i="5"/>
  <c r="T45" i="5"/>
  <c r="T29" i="5"/>
  <c r="M31" i="5"/>
  <c r="Q32" i="5"/>
  <c r="Y33" i="5"/>
  <c r="U40" i="5"/>
  <c r="Y39" i="5"/>
  <c r="X30" i="5"/>
  <c r="N28" i="5"/>
  <c r="V36" i="5"/>
  <c r="V34" i="5"/>
  <c r="Y42" i="5"/>
  <c r="X27" i="5"/>
  <c r="M35" i="5"/>
  <c r="V41" i="5"/>
  <c r="M42" i="5"/>
  <c r="N38" i="5"/>
  <c r="P43" i="5"/>
  <c r="R36" i="5"/>
  <c r="S46" i="5"/>
  <c r="S41" i="5"/>
  <c r="R33" i="5"/>
  <c r="P32" i="5"/>
  <c r="S37" i="5"/>
  <c r="M39" i="5"/>
  <c r="T33" i="5"/>
  <c r="O36" i="5"/>
  <c r="N40" i="5"/>
  <c r="W36" i="5"/>
  <c r="Q44" i="5"/>
  <c r="T38" i="5"/>
  <c r="U43" i="5"/>
  <c r="T30" i="5"/>
  <c r="P38" i="5"/>
  <c r="N45" i="5"/>
  <c r="P34" i="5"/>
  <c r="U29" i="5"/>
  <c r="W34" i="5"/>
  <c r="O27" i="5"/>
  <c r="O43" i="5"/>
  <c r="M37" i="5"/>
  <c r="R42" i="5"/>
  <c r="Q35" i="5"/>
  <c r="M41" i="5"/>
  <c r="Y27" i="5"/>
  <c r="N37" i="5"/>
  <c r="P40" i="5"/>
  <c r="O28" i="5"/>
  <c r="Q38" i="5"/>
  <c r="S39" i="5"/>
  <c r="R29" i="5"/>
  <c r="R31" i="5"/>
  <c r="M28" i="5"/>
  <c r="M38" i="5"/>
  <c r="W40" i="5"/>
  <c r="R34" i="5"/>
  <c r="T35" i="5"/>
  <c r="Q29" i="5"/>
  <c r="R45" i="5"/>
  <c r="M33" i="5"/>
  <c r="V30" i="5"/>
  <c r="V43" i="5"/>
  <c r="U38" i="5"/>
  <c r="W46" i="5"/>
  <c r="U34" i="5"/>
  <c r="S33" i="5"/>
  <c r="O41" i="5"/>
  <c r="V42" i="5"/>
  <c r="R37" i="5"/>
  <c r="W43" i="5"/>
  <c r="S40" i="5"/>
  <c r="W39" i="5"/>
  <c r="Q46" i="5"/>
  <c r="R46" i="5"/>
  <c r="Q33" i="5"/>
  <c r="N44" i="5"/>
  <c r="R44" i="5"/>
  <c r="N46" i="5"/>
  <c r="M46" i="5"/>
  <c r="T37" i="5"/>
  <c r="M27" i="5"/>
  <c r="S38" i="5"/>
  <c r="Y45" i="5"/>
  <c r="R30" i="5"/>
  <c r="T39" i="5"/>
  <c r="W28" i="5"/>
  <c r="Y40" i="5"/>
  <c r="P30" i="5"/>
  <c r="X40" i="5"/>
  <c r="U36" i="5"/>
  <c r="M34" i="5"/>
  <c r="M40" i="5"/>
  <c r="Y34" i="5"/>
  <c r="S45" i="5"/>
  <c r="S36" i="5"/>
  <c r="M36" i="5"/>
  <c r="S43" i="5"/>
  <c r="T46" i="5"/>
  <c r="O34" i="5"/>
  <c r="X28" i="5"/>
  <c r="P41" i="5"/>
  <c r="T40" i="5"/>
  <c r="N39" i="5"/>
  <c r="Q31" i="5"/>
  <c r="O46" i="5"/>
  <c r="X31" i="5"/>
  <c r="U39" i="5"/>
  <c r="Y32" i="5"/>
  <c r="W32" i="5"/>
  <c r="Q36" i="5"/>
  <c r="V32" i="5"/>
  <c r="N42" i="5"/>
  <c r="W41" i="5"/>
  <c r="N43" i="5"/>
  <c r="O30" i="5"/>
  <c r="X36" i="5"/>
  <c r="Q28" i="5"/>
  <c r="N34" i="5"/>
  <c r="R43" i="5"/>
  <c r="W37" i="5"/>
  <c r="U44" i="5"/>
  <c r="S29" i="5"/>
  <c r="O39" i="5"/>
  <c r="D32" i="3"/>
  <c r="N31" i="3"/>
  <c r="F32" i="3"/>
  <c r="N33" i="3" s="1" a="1"/>
  <c r="C23" i="3" a="1"/>
  <c r="C23" i="3" s="1"/>
  <c r="F12" i="3"/>
  <c r="F11" i="3"/>
  <c r="E11" i="3"/>
  <c r="I6" i="3" a="1"/>
  <c r="J6" i="3" s="1"/>
  <c r="M48" i="5" a="1"/>
  <c r="D16" i="3"/>
  <c r="M75" i="5" l="1"/>
  <c r="N76" i="5"/>
  <c r="M71" i="5"/>
  <c r="M96" i="5"/>
  <c r="N57" i="5"/>
  <c r="M77" i="5"/>
  <c r="M95" i="5"/>
  <c r="N56" i="5"/>
  <c r="M85" i="5"/>
  <c r="N89" i="5"/>
  <c r="N71" i="5"/>
  <c r="N93" i="5"/>
  <c r="N67" i="5"/>
  <c r="N80" i="5"/>
  <c r="N101" i="5"/>
  <c r="N77" i="5"/>
  <c r="M62" i="5"/>
  <c r="N50" i="5"/>
  <c r="M76" i="5"/>
  <c r="M86" i="5"/>
  <c r="N70" i="5"/>
  <c r="M81" i="5"/>
  <c r="N84" i="5"/>
  <c r="N100" i="5"/>
  <c r="M50" i="5"/>
  <c r="M83" i="5"/>
  <c r="N92" i="5"/>
  <c r="M87" i="5"/>
  <c r="M104" i="5"/>
  <c r="N65" i="5"/>
  <c r="M93" i="5"/>
  <c r="M73" i="5"/>
  <c r="N55" i="5"/>
  <c r="N63" i="5"/>
  <c r="N85" i="5"/>
  <c r="N59" i="5"/>
  <c r="N97" i="5"/>
  <c r="M90" i="5"/>
  <c r="M51" i="5"/>
  <c r="N75" i="5"/>
  <c r="M67" i="5"/>
  <c r="N83" i="5"/>
  <c r="M60" i="5"/>
  <c r="N58" i="5"/>
  <c r="N104" i="5"/>
  <c r="N54" i="5"/>
  <c r="M64" i="5"/>
  <c r="N78" i="5"/>
  <c r="N94" i="5"/>
  <c r="M63" i="5"/>
  <c r="M88" i="5"/>
  <c r="M58" i="5"/>
  <c r="M91" i="5"/>
  <c r="M61" i="5"/>
  <c r="M103" i="5"/>
  <c r="N48" i="5"/>
  <c r="N73" i="5"/>
  <c r="N53" i="5"/>
  <c r="M57" i="5"/>
  <c r="M69" i="5"/>
  <c r="N69" i="5"/>
  <c r="N51" i="5"/>
  <c r="N64" i="5"/>
  <c r="M82" i="5"/>
  <c r="N72" i="5"/>
  <c r="N79" i="5"/>
  <c r="N87" i="5"/>
  <c r="M54" i="5"/>
  <c r="M78" i="5"/>
  <c r="N103" i="5"/>
  <c r="M49" i="5"/>
  <c r="M102" i="5"/>
  <c r="M100" i="5"/>
  <c r="N82" i="5"/>
  <c r="N98" i="5"/>
  <c r="N52" i="5"/>
  <c r="M66" i="5"/>
  <c r="M99" i="5"/>
  <c r="N81" i="5"/>
  <c r="M101" i="5"/>
  <c r="N61" i="5"/>
  <c r="N95" i="5"/>
  <c r="N91" i="5"/>
  <c r="M94" i="5"/>
  <c r="M48" i="5"/>
  <c r="M56" i="5"/>
  <c r="N62" i="5"/>
  <c r="N86" i="5"/>
  <c r="M97" i="5"/>
  <c r="M79" i="5"/>
  <c r="M74" i="5"/>
  <c r="M98" i="5"/>
  <c r="N88" i="5"/>
  <c r="N96" i="5"/>
  <c r="N99" i="5"/>
  <c r="M92" i="5"/>
  <c r="N74" i="5"/>
  <c r="M65" i="5"/>
  <c r="N60" i="5"/>
  <c r="M84" i="5"/>
  <c r="M89" i="5"/>
  <c r="M80" i="5"/>
  <c r="N68" i="5"/>
  <c r="N49" i="5"/>
  <c r="N66" i="5"/>
  <c r="N90" i="5"/>
  <c r="N102" i="5"/>
  <c r="M59" i="5"/>
  <c r="M70" i="5"/>
  <c r="M52" i="5"/>
  <c r="M68" i="5"/>
  <c r="M53" i="5"/>
  <c r="M72" i="5"/>
  <c r="M55" i="5"/>
  <c r="N33" i="3"/>
  <c r="N35" i="3"/>
  <c r="N34" i="3"/>
  <c r="I6" i="3"/>
  <c r="K6" i="3"/>
  <c r="C25" i="3"/>
  <c r="C24" i="3"/>
  <c r="R16" i="2"/>
  <c r="R27" i="2"/>
  <c r="P27" i="2" s="1"/>
  <c r="R26" i="2"/>
  <c r="R25" i="2"/>
  <c r="P25" i="2" s="1"/>
  <c r="R18" i="2"/>
  <c r="R17" i="2"/>
  <c r="I6" i="2" a="1"/>
  <c r="K6" i="2" s="1"/>
  <c r="K32" i="2"/>
  <c r="C27" i="3"/>
  <c r="T4" i="2"/>
  <c r="P26" i="2" l="1"/>
  <c r="J6" i="2"/>
  <c r="I6" i="2"/>
  <c r="L36" i="2"/>
  <c r="L35" i="2"/>
  <c r="V57" i="2" a="1"/>
  <c r="V57" i="2" s="1"/>
  <c r="L34" i="2"/>
  <c r="B33" i="2" a="1"/>
  <c r="B34" i="2" s="1"/>
  <c r="F12" i="2"/>
  <c r="F11" i="2"/>
  <c r="E11" i="2"/>
  <c r="E11" i="1"/>
  <c r="F12" i="1"/>
  <c r="F11" i="1"/>
  <c r="L36" i="1"/>
  <c r="L35" i="1"/>
  <c r="L34" i="1"/>
  <c r="P33" i="3" a="1"/>
  <c r="D16" i="2"/>
  <c r="X25" i="2" a="1"/>
  <c r="C18" i="2" a="1"/>
  <c r="T3" i="2"/>
  <c r="D16" i="1"/>
  <c r="Q34" i="3" l="1"/>
  <c r="W38" i="3"/>
  <c r="T39" i="3"/>
  <c r="V34" i="3"/>
  <c r="U37" i="3"/>
  <c r="V33" i="3"/>
  <c r="Q36" i="3"/>
  <c r="W40" i="3"/>
  <c r="U39" i="3"/>
  <c r="V36" i="3"/>
  <c r="Q40" i="3"/>
  <c r="P33" i="3"/>
  <c r="U41" i="3"/>
  <c r="V42" i="3"/>
  <c r="V39" i="3"/>
  <c r="Q42" i="3"/>
  <c r="P35" i="3"/>
  <c r="R34" i="3"/>
  <c r="Q41" i="3"/>
  <c r="V41" i="3"/>
  <c r="S38" i="3"/>
  <c r="P37" i="3"/>
  <c r="R36" i="3"/>
  <c r="R37" i="3"/>
  <c r="W33" i="3"/>
  <c r="P39" i="3"/>
  <c r="R38" i="3"/>
  <c r="W35" i="3"/>
  <c r="P41" i="3"/>
  <c r="S33" i="3"/>
  <c r="W37" i="3"/>
  <c r="R42" i="3"/>
  <c r="T40" i="3"/>
  <c r="S41" i="3"/>
  <c r="W41" i="3"/>
  <c r="S36" i="3"/>
  <c r="S40" i="3"/>
  <c r="P36" i="3"/>
  <c r="T36" i="3"/>
  <c r="V38" i="3"/>
  <c r="U34" i="3"/>
  <c r="W34" i="3"/>
  <c r="T37" i="3"/>
  <c r="W36" i="3"/>
  <c r="W39" i="3"/>
  <c r="P34" i="3"/>
  <c r="T41" i="3"/>
  <c r="U40" i="3"/>
  <c r="S35" i="3"/>
  <c r="T33" i="3"/>
  <c r="V35" i="3"/>
  <c r="Q38" i="3"/>
  <c r="W42" i="3"/>
  <c r="R33" i="3"/>
  <c r="V40" i="3"/>
  <c r="R40" i="3"/>
  <c r="T38" i="3"/>
  <c r="S37" i="3"/>
  <c r="Q35" i="3"/>
  <c r="M35" i="3" s="1"/>
  <c r="Q37" i="3"/>
  <c r="U36" i="3"/>
  <c r="R39" i="3"/>
  <c r="U35" i="3"/>
  <c r="P38" i="3"/>
  <c r="P40" i="3"/>
  <c r="U38" i="3"/>
  <c r="P42" i="3"/>
  <c r="U42" i="3"/>
  <c r="V37" i="3"/>
  <c r="S42" i="3"/>
  <c r="R41" i="3"/>
  <c r="T34" i="3"/>
  <c r="Q33" i="3"/>
  <c r="S34" i="3"/>
  <c r="T42" i="3"/>
  <c r="T35" i="3"/>
  <c r="R35" i="3"/>
  <c r="S39" i="3"/>
  <c r="Q39" i="3"/>
  <c r="U33" i="3"/>
  <c r="Y28" i="2"/>
  <c r="Z33" i="2"/>
  <c r="Z28" i="2"/>
  <c r="X29" i="2"/>
  <c r="Z32" i="2"/>
  <c r="Y29" i="2"/>
  <c r="Z29" i="2"/>
  <c r="X30" i="2"/>
  <c r="X25" i="2"/>
  <c r="Y30" i="2"/>
  <c r="Y25" i="2"/>
  <c r="Z30" i="2"/>
  <c r="Z25" i="2"/>
  <c r="X31" i="2"/>
  <c r="X26" i="2"/>
  <c r="Y31" i="2"/>
  <c r="Y26" i="2"/>
  <c r="Z31" i="2"/>
  <c r="Z26" i="2"/>
  <c r="X32" i="2"/>
  <c r="X27" i="2"/>
  <c r="Y27" i="2"/>
  <c r="X33" i="2"/>
  <c r="X28" i="2"/>
  <c r="Y33" i="2"/>
  <c r="Z27" i="2"/>
  <c r="Y32" i="2"/>
  <c r="E29" i="2"/>
  <c r="G26" i="2"/>
  <c r="C24" i="2"/>
  <c r="E21" i="2"/>
  <c r="G18" i="2"/>
  <c r="G28" i="2"/>
  <c r="C26" i="2"/>
  <c r="E23" i="2"/>
  <c r="G20" i="2"/>
  <c r="C18" i="2"/>
  <c r="E28" i="2"/>
  <c r="G25" i="2"/>
  <c r="C23" i="2"/>
  <c r="E20" i="2"/>
  <c r="H30" i="2"/>
  <c r="D28" i="2"/>
  <c r="F25" i="2"/>
  <c r="H22" i="2"/>
  <c r="D20" i="2"/>
  <c r="F28" i="2"/>
  <c r="H25" i="2"/>
  <c r="D23" i="2"/>
  <c r="F20" i="2"/>
  <c r="G30" i="2"/>
  <c r="C28" i="2"/>
  <c r="E25" i="2"/>
  <c r="G22" i="2"/>
  <c r="C20" i="2"/>
  <c r="C34" i="2" s="1"/>
  <c r="F30" i="2"/>
  <c r="H27" i="2"/>
  <c r="D25" i="2"/>
  <c r="F22" i="2"/>
  <c r="H19" i="2"/>
  <c r="E30" i="2"/>
  <c r="G27" i="2"/>
  <c r="C25" i="2"/>
  <c r="E22" i="2"/>
  <c r="G19" i="2"/>
  <c r="D30" i="2"/>
  <c r="F27" i="2"/>
  <c r="H24" i="2"/>
  <c r="D22" i="2"/>
  <c r="F19" i="2"/>
  <c r="G29" i="2"/>
  <c r="C27" i="2"/>
  <c r="E24" i="2"/>
  <c r="G21" i="2"/>
  <c r="C19" i="2"/>
  <c r="C33" i="2" s="1"/>
  <c r="F29" i="2"/>
  <c r="H26" i="2"/>
  <c r="D24" i="2"/>
  <c r="F21" i="2"/>
  <c r="H18" i="2"/>
  <c r="D29" i="2"/>
  <c r="F26" i="2"/>
  <c r="H23" i="2"/>
  <c r="D21" i="2"/>
  <c r="F18" i="2"/>
  <c r="C29" i="2"/>
  <c r="E26" i="2"/>
  <c r="G23" i="2"/>
  <c r="C21" i="2"/>
  <c r="C35" i="2" s="1"/>
  <c r="E18" i="2"/>
  <c r="H28" i="2"/>
  <c r="D26" i="2"/>
  <c r="F23" i="2"/>
  <c r="H20" i="2"/>
  <c r="D18" i="2"/>
  <c r="C30" i="2"/>
  <c r="E27" i="2"/>
  <c r="G24" i="2"/>
  <c r="C22" i="2"/>
  <c r="E19" i="2"/>
  <c r="H29" i="2"/>
  <c r="D27" i="2"/>
  <c r="F24" i="2"/>
  <c r="H21" i="2"/>
  <c r="D19" i="2"/>
  <c r="B35" i="2"/>
  <c r="V58" i="2"/>
  <c r="V59" i="2"/>
  <c r="B33" i="2"/>
  <c r="B33" i="1" a="1"/>
  <c r="B34" i="1" s="1"/>
  <c r="M34" i="3"/>
  <c r="M33" i="3"/>
  <c r="T16" i="2" a="1"/>
  <c r="U34" i="2" l="1"/>
  <c r="U50" i="2"/>
  <c r="U17" i="2"/>
  <c r="W58" i="2" s="1"/>
  <c r="U37" i="2"/>
  <c r="Y37" i="2" s="1"/>
  <c r="U31" i="2"/>
  <c r="U27" i="2"/>
  <c r="T43" i="2"/>
  <c r="T42" i="2"/>
  <c r="T22" i="2"/>
  <c r="U39" i="2"/>
  <c r="U35" i="2"/>
  <c r="T50" i="2"/>
  <c r="T38" i="2"/>
  <c r="U22" i="2"/>
  <c r="W66" i="2" s="1"/>
  <c r="Y64" i="2" s="1"/>
  <c r="U28" i="2"/>
  <c r="U42" i="2"/>
  <c r="U41" i="2"/>
  <c r="U23" i="2"/>
  <c r="T35" i="2"/>
  <c r="T19" i="2"/>
  <c r="T34" i="2"/>
  <c r="U45" i="2"/>
  <c r="T20" i="2"/>
  <c r="U47" i="2"/>
  <c r="U16" i="2"/>
  <c r="W57" i="2" s="1"/>
  <c r="U64" i="2" s="1" a="1"/>
  <c r="U66" i="2" s="1"/>
  <c r="T28" i="2"/>
  <c r="U18" i="2"/>
  <c r="W59" i="2" s="1"/>
  <c r="U46" i="2"/>
  <c r="U24" i="2"/>
  <c r="Y66" i="2" s="1"/>
  <c r="T31" i="2"/>
  <c r="U36" i="2"/>
  <c r="T30" i="2"/>
  <c r="T16" i="2"/>
  <c r="U32" i="2"/>
  <c r="U44" i="2"/>
  <c r="T27" i="2"/>
  <c r="T44" i="2"/>
  <c r="T24" i="2"/>
  <c r="U40" i="2"/>
  <c r="T21" i="2"/>
  <c r="T51" i="2"/>
  <c r="U38" i="2"/>
  <c r="U48" i="2"/>
  <c r="T29" i="2"/>
  <c r="U19" i="2"/>
  <c r="W64" i="2" s="1"/>
  <c r="T47" i="2"/>
  <c r="T17" i="2"/>
  <c r="T37" i="2"/>
  <c r="U43" i="2"/>
  <c r="T48" i="2"/>
  <c r="T36" i="2"/>
  <c r="T49" i="2"/>
  <c r="U49" i="2"/>
  <c r="T39" i="2"/>
  <c r="U29" i="2"/>
  <c r="T32" i="2"/>
  <c r="T40" i="2"/>
  <c r="T33" i="2"/>
  <c r="T45" i="2"/>
  <c r="T25" i="2"/>
  <c r="T41" i="2"/>
  <c r="U21" i="2"/>
  <c r="W21" i="2" s="1"/>
  <c r="U20" i="2"/>
  <c r="W65" i="2" s="1"/>
  <c r="X64" i="2" s="1"/>
  <c r="U33" i="2"/>
  <c r="U25" i="2"/>
  <c r="T23" i="2"/>
  <c r="T46" i="2"/>
  <c r="T18" i="2"/>
  <c r="U26" i="2"/>
  <c r="U30" i="2"/>
  <c r="U51" i="2"/>
  <c r="T26" i="2"/>
  <c r="M39" i="3"/>
  <c r="M38" i="3"/>
  <c r="J34" i="2"/>
  <c r="W24" i="2"/>
  <c r="X65" i="2"/>
  <c r="W20" i="2"/>
  <c r="X66" i="2"/>
  <c r="Y65" i="2" s="1"/>
  <c r="V64" i="2" a="1"/>
  <c r="V64" i="2" s="1"/>
  <c r="N35" i="2"/>
  <c r="N34" i="2"/>
  <c r="N36" i="2"/>
  <c r="J35" i="2"/>
  <c r="E33" i="2"/>
  <c r="F33" i="2" s="1"/>
  <c r="D33" i="2"/>
  <c r="E34" i="2"/>
  <c r="F34" i="2" s="1"/>
  <c r="D34" i="2"/>
  <c r="E35" i="2"/>
  <c r="F35" i="2" s="1"/>
  <c r="D35" i="2"/>
  <c r="B33" i="1"/>
  <c r="B35" i="1"/>
  <c r="V34" i="1" a="1"/>
  <c r="V34" i="1" s="1"/>
  <c r="W22" i="2" l="1"/>
  <c r="W23" i="2"/>
  <c r="W19" i="2"/>
  <c r="G34" i="2"/>
  <c r="H34" i="2" s="1"/>
  <c r="W37" i="2" a="1"/>
  <c r="U64" i="2"/>
  <c r="U65" i="2"/>
  <c r="P34" i="2"/>
  <c r="P36" i="2"/>
  <c r="P35" i="2"/>
  <c r="G35" i="2"/>
  <c r="H35" i="2" s="1"/>
  <c r="G33" i="2"/>
  <c r="H33" i="2" s="1"/>
  <c r="V65" i="2"/>
  <c r="W63" i="2" s="1" a="1"/>
  <c r="V66" i="2"/>
  <c r="W62" i="2" a="1"/>
  <c r="U71" i="2" a="1"/>
  <c r="V36" i="1"/>
  <c r="V35" i="1"/>
  <c r="T16" i="1" a="1"/>
  <c r="C18" i="1" a="1"/>
  <c r="V71" i="2" l="1" a="1"/>
  <c r="V41" i="1" a="1"/>
  <c r="V42" i="1" s="1"/>
  <c r="W38" i="2"/>
  <c r="W37" i="2"/>
  <c r="W39" i="2"/>
  <c r="W40" i="2"/>
  <c r="W41" i="2"/>
  <c r="W42" i="2"/>
  <c r="V73" i="2"/>
  <c r="V72" i="2"/>
  <c r="V71" i="2"/>
  <c r="Y63" i="2"/>
  <c r="X63" i="2"/>
  <c r="W63" i="2"/>
  <c r="U73" i="2"/>
  <c r="U72" i="2"/>
  <c r="U71" i="2"/>
  <c r="Y62" i="2"/>
  <c r="X62" i="2"/>
  <c r="W62" i="2"/>
  <c r="T16" i="1"/>
  <c r="U21" i="1"/>
  <c r="V26" i="1"/>
  <c r="U16" i="1"/>
  <c r="V21" i="1"/>
  <c r="T27" i="1"/>
  <c r="T26" i="1"/>
  <c r="V16" i="1"/>
  <c r="T22" i="1"/>
  <c r="U27" i="1"/>
  <c r="V22" i="1"/>
  <c r="U23" i="1"/>
  <c r="V25" i="1"/>
  <c r="U26" i="1"/>
  <c r="T17" i="1"/>
  <c r="U22" i="1"/>
  <c r="V27" i="1"/>
  <c r="T28" i="1"/>
  <c r="T23" i="1"/>
  <c r="U28" i="1"/>
  <c r="V28" i="1"/>
  <c r="V30" i="1"/>
  <c r="T21" i="1"/>
  <c r="U17" i="1"/>
  <c r="V17" i="1"/>
  <c r="T18" i="1"/>
  <c r="U18" i="1"/>
  <c r="V23" i="1"/>
  <c r="T29" i="1"/>
  <c r="T24" i="1"/>
  <c r="U29" i="1"/>
  <c r="U24" i="1"/>
  <c r="V29" i="1"/>
  <c r="V24" i="1"/>
  <c r="T30" i="1"/>
  <c r="T25" i="1"/>
  <c r="U30" i="1"/>
  <c r="U25" i="1"/>
  <c r="V18" i="1"/>
  <c r="T19" i="1"/>
  <c r="U19" i="1"/>
  <c r="V19" i="1"/>
  <c r="T20" i="1"/>
  <c r="U20" i="1"/>
  <c r="V20" i="1"/>
  <c r="C18" i="1"/>
  <c r="C30" i="1"/>
  <c r="F18" i="1"/>
  <c r="H22" i="1"/>
  <c r="F25" i="1"/>
  <c r="F26" i="1"/>
  <c r="G27" i="1"/>
  <c r="E18" i="1"/>
  <c r="G28" i="1"/>
  <c r="F22" i="1"/>
  <c r="F27" i="1"/>
  <c r="F21" i="1"/>
  <c r="C29" i="1"/>
  <c r="D24" i="1"/>
  <c r="H23" i="1"/>
  <c r="G22" i="1"/>
  <c r="D19" i="1"/>
  <c r="D18" i="1"/>
  <c r="H30" i="1"/>
  <c r="E28" i="1"/>
  <c r="C19" i="1"/>
  <c r="C33" i="1" s="1"/>
  <c r="H24" i="1"/>
  <c r="D26" i="1"/>
  <c r="H21" i="1"/>
  <c r="H19" i="1"/>
  <c r="C28" i="1"/>
  <c r="G20" i="1"/>
  <c r="D22" i="1"/>
  <c r="D21" i="1"/>
  <c r="E20" i="1"/>
  <c r="C23" i="1"/>
  <c r="F20" i="1"/>
  <c r="C26" i="1"/>
  <c r="D29" i="1"/>
  <c r="F29" i="1"/>
  <c r="G18" i="1"/>
  <c r="F30" i="1"/>
  <c r="G26" i="1"/>
  <c r="G30" i="1"/>
  <c r="H26" i="1"/>
  <c r="D28" i="1"/>
  <c r="E24" i="1"/>
  <c r="G29" i="1"/>
  <c r="E29" i="1"/>
  <c r="H29" i="1"/>
  <c r="E19" i="1"/>
  <c r="C27" i="1"/>
  <c r="F19" i="1"/>
  <c r="D33" i="1" s="1"/>
  <c r="E30" i="1"/>
  <c r="D27" i="1"/>
  <c r="E23" i="1"/>
  <c r="D30" i="1"/>
  <c r="G25" i="1"/>
  <c r="E21" i="1"/>
  <c r="G23" i="1"/>
  <c r="E22" i="1"/>
  <c r="H27" i="1"/>
  <c r="G21" i="1"/>
  <c r="D23" i="1"/>
  <c r="D20" i="1"/>
  <c r="F24" i="1"/>
  <c r="H20" i="1"/>
  <c r="G24" i="1"/>
  <c r="F23" i="1"/>
  <c r="H25" i="1"/>
  <c r="G19" i="1"/>
  <c r="H28" i="1"/>
  <c r="C25" i="1"/>
  <c r="C20" i="1"/>
  <c r="C34" i="1" s="1"/>
  <c r="C22" i="1"/>
  <c r="E25" i="1"/>
  <c r="C24" i="1"/>
  <c r="H18" i="1"/>
  <c r="E27" i="1"/>
  <c r="D25" i="1"/>
  <c r="C21" i="1"/>
  <c r="C35" i="1" s="1"/>
  <c r="E26" i="1"/>
  <c r="F28" i="1"/>
  <c r="V43" i="1" l="1"/>
  <c r="V41" i="1"/>
  <c r="W69" i="2" a="1"/>
  <c r="Y69" i="2" s="1"/>
  <c r="W70" i="2" a="1"/>
  <c r="V78" i="2" a="1"/>
  <c r="N35" i="1"/>
  <c r="N36" i="1"/>
  <c r="N34" i="1"/>
  <c r="Y43" i="1"/>
  <c r="X42" i="1"/>
  <c r="W36" i="1"/>
  <c r="W34" i="1"/>
  <c r="X43" i="1"/>
  <c r="Y42" i="1" s="1"/>
  <c r="W43" i="1"/>
  <c r="Y41" i="1" s="1"/>
  <c r="W35" i="1"/>
  <c r="W42" i="1"/>
  <c r="X41" i="1" s="1"/>
  <c r="J34" i="1"/>
  <c r="J35" i="1"/>
  <c r="E35" i="1"/>
  <c r="F35" i="1" s="1"/>
  <c r="D35" i="1"/>
  <c r="E33" i="1"/>
  <c r="F33" i="1" s="1"/>
  <c r="D34" i="1"/>
  <c r="E34" i="1"/>
  <c r="F34" i="1" s="1"/>
  <c r="W41" i="1"/>
  <c r="W40" i="1" a="1"/>
  <c r="V48" i="1" a="1"/>
  <c r="W69" i="2" l="1"/>
  <c r="X69" i="2"/>
  <c r="Y71" i="2"/>
  <c r="Y73" i="2"/>
  <c r="Y72" i="2"/>
  <c r="V80" i="2"/>
  <c r="V79" i="2"/>
  <c r="V78" i="2"/>
  <c r="W77" i="2" s="1" a="1"/>
  <c r="R35" i="2"/>
  <c r="Y70" i="2"/>
  <c r="X70" i="2"/>
  <c r="W70" i="2"/>
  <c r="Y76" i="2"/>
  <c r="P34" i="1"/>
  <c r="G35" i="1"/>
  <c r="H35" i="1" s="1"/>
  <c r="P36" i="1"/>
  <c r="P35" i="1"/>
  <c r="G34" i="1"/>
  <c r="H34" i="1" s="1"/>
  <c r="G33" i="1"/>
  <c r="H33" i="1" s="1"/>
  <c r="U41" i="1" a="1"/>
  <c r="U41" i="1" s="1"/>
  <c r="V50" i="1"/>
  <c r="V49" i="1"/>
  <c r="V48" i="1"/>
  <c r="Y40" i="1"/>
  <c r="W40" i="1"/>
  <c r="X40" i="1"/>
  <c r="W73" i="2" l="1"/>
  <c r="R36" i="2" s="1"/>
  <c r="W72" i="2"/>
  <c r="R34" i="2" s="1"/>
  <c r="W71" i="2"/>
  <c r="W76" i="2" s="1"/>
  <c r="X71" i="2"/>
  <c r="X72" i="2"/>
  <c r="X76" i="2" s="1"/>
  <c r="U78" i="2" s="1" a="1"/>
  <c r="X73" i="2"/>
  <c r="Y77" i="2"/>
  <c r="X77" i="2"/>
  <c r="W77" i="2"/>
  <c r="W47" i="1" a="1"/>
  <c r="Y47" i="1" s="1"/>
  <c r="V55" i="1" a="1"/>
  <c r="U42" i="1"/>
  <c r="U43" i="1"/>
  <c r="U79" i="2" l="1"/>
  <c r="U78" i="2"/>
  <c r="U80" i="2"/>
  <c r="W39" i="1" a="1"/>
  <c r="W39" i="1" s="1"/>
  <c r="X47" i="1"/>
  <c r="W47" i="1"/>
  <c r="V56" i="1"/>
  <c r="V55" i="1"/>
  <c r="V57" i="1"/>
  <c r="U48" i="1" a="1"/>
  <c r="T80" i="2" l="1"/>
  <c r="X80" i="2"/>
  <c r="W80" i="2"/>
  <c r="Y80" i="2"/>
  <c r="T78" i="2"/>
  <c r="Y78" i="2"/>
  <c r="W78" i="2"/>
  <c r="X78" i="2"/>
  <c r="T79" i="2"/>
  <c r="X79" i="2"/>
  <c r="Y79" i="2"/>
  <c r="W79" i="2"/>
  <c r="X39" i="1"/>
  <c r="Y39" i="1"/>
  <c r="W54" i="1" a="1"/>
  <c r="U48" i="1"/>
  <c r="U49" i="1"/>
  <c r="U50" i="1"/>
  <c r="W46" i="1" l="1" a="1"/>
  <c r="Y54" i="1"/>
  <c r="W54" i="1"/>
  <c r="X54" i="1"/>
  <c r="Y46" i="1" l="1"/>
  <c r="W46" i="1"/>
  <c r="X46" i="1"/>
  <c r="X49" i="1" l="1"/>
  <c r="X53" i="1" s="1"/>
  <c r="X50" i="1"/>
  <c r="X48" i="1"/>
  <c r="W49" i="1"/>
  <c r="R34" i="1" s="1"/>
  <c r="W50" i="1"/>
  <c r="R36" i="1" s="1"/>
  <c r="W48" i="1"/>
  <c r="W53" i="1" s="1"/>
  <c r="Y48" i="1"/>
  <c r="Y49" i="1"/>
  <c r="R35" i="1" s="1"/>
  <c r="Y50" i="1"/>
  <c r="Y53" i="1" s="1"/>
  <c r="U55" i="1" l="1" a="1"/>
  <c r="U55" i="1" s="1"/>
  <c r="T55" i="1" s="1"/>
  <c r="Y55" i="1" l="1"/>
  <c r="X55" i="1"/>
  <c r="W55" i="1"/>
  <c r="U56" i="1"/>
  <c r="U57" i="1"/>
  <c r="T56" i="1" l="1"/>
  <c r="Y56" i="1"/>
  <c r="X56" i="1"/>
  <c r="W56" i="1"/>
  <c r="T57" i="1"/>
  <c r="X57" i="1"/>
  <c r="Y57" i="1"/>
  <c r="W57" i="1"/>
</calcChain>
</file>

<file path=xl/sharedStrings.xml><?xml version="1.0" encoding="utf-8"?>
<sst xmlns="http://schemas.openxmlformats.org/spreadsheetml/2006/main" count="128" uniqueCount="49">
  <si>
    <t>spots</t>
  </si>
  <si>
    <t>atms</t>
  </si>
  <si>
    <t>skews</t>
  </si>
  <si>
    <t>rate</t>
  </si>
  <si>
    <t>div dates</t>
  </si>
  <si>
    <t>divs</t>
  </si>
  <si>
    <t>correl</t>
  </si>
  <si>
    <t>lambda</t>
  </si>
  <si>
    <t>google</t>
  </si>
  <si>
    <t>amazon</t>
  </si>
  <si>
    <t>starbucks</t>
  </si>
  <si>
    <t>model</t>
  </si>
  <si>
    <t>exp</t>
  </si>
  <si>
    <t>cov</t>
  </si>
  <si>
    <t>exy</t>
  </si>
  <si>
    <t>corr</t>
  </si>
  <si>
    <t>alpha</t>
  </si>
  <si>
    <t>beta</t>
  </si>
  <si>
    <t>var</t>
  </si>
  <si>
    <t>spot</t>
  </si>
  <si>
    <t>vol</t>
  </si>
  <si>
    <t>paths</t>
  </si>
  <si>
    <t>sobol</t>
  </si>
  <si>
    <t>parallel</t>
  </si>
  <si>
    <t>statevar</t>
  </si>
  <si>
    <t>rho</t>
  </si>
  <si>
    <t>google/starbucks</t>
  </si>
  <si>
    <t>assets</t>
  </si>
  <si>
    <t>sgn</t>
  </si>
  <si>
    <t>chk</t>
  </si>
  <si>
    <t>fix</t>
  </si>
  <si>
    <t>fwd</t>
  </si>
  <si>
    <t>time</t>
  </si>
  <si>
    <t>basket</t>
  </si>
  <si>
    <t>w</t>
  </si>
  <si>
    <t>mat</t>
  </si>
  <si>
    <t>str</t>
  </si>
  <si>
    <t>atm</t>
  </si>
  <si>
    <t>skew</t>
  </si>
  <si>
    <t>spreads</t>
  </si>
  <si>
    <t>per</t>
  </si>
  <si>
    <t>ko</t>
  </si>
  <si>
    <t>strike</t>
  </si>
  <si>
    <t>smooth</t>
  </si>
  <si>
    <t>cpn</t>
  </si>
  <si>
    <t>refs</t>
  </si>
  <si>
    <t>uber</t>
  </si>
  <si>
    <t>lyft</t>
  </si>
  <si>
    <t>luckin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</si>
</sst>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7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5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9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1" applyNumberFormat="0" applyAlignment="0" applyProtection="0"/>
    <xf numFmtId="0" fontId="1" fillId="5" borderId="2" applyNumberFormat="0" applyFont="0" applyAlignment="0" applyProtection="0"/>
    <xf numFmtId="0" fontId="3" fillId="6" borderId="0" applyNumberFormat="0" applyBorder="0" applyAlignment="0" applyProtection="0"/>
    <xf numFmtId="0" fontId="5" fillId="7" borderId="0" applyNumberFormat="0" applyBorder="0" applyAlignment="0" applyProtection="0"/>
  </cellStyleXfs>
  <cellXfs count="31">
    <xf numFmtId="0" fontId="0" fillId="0" borderId="0" xfId="0"/>
    <xf numFmtId="10" fontId="0" fillId="0" borderId="0" xfId="0" applyNumberFormat="1"/>
    <xf numFmtId="165" fontId="0" fillId="0" borderId="0" xfId="1" applyNumberFormat="1" applyFont="1"/>
    <xf numFmtId="9" fontId="0" fillId="0" borderId="0" xfId="2" quotePrefix="1" applyFont="1"/>
    <xf numFmtId="0" fontId="0" fillId="0" borderId="0" xfId="0" quotePrefix="1"/>
    <xf numFmtId="164" fontId="0" fillId="0" borderId="0" xfId="1" quotePrefix="1" applyFont="1"/>
    <xf numFmtId="10" fontId="0" fillId="0" borderId="0" xfId="2" quotePrefix="1" applyNumberFormat="1" applyFont="1"/>
    <xf numFmtId="164" fontId="0" fillId="0" borderId="0" xfId="1" applyFont="1"/>
    <xf numFmtId="10" fontId="0" fillId="0" borderId="0" xfId="2" applyNumberFormat="1" applyFont="1"/>
    <xf numFmtId="2" fontId="0" fillId="0" borderId="0" xfId="0" applyNumberFormat="1"/>
    <xf numFmtId="164" fontId="0" fillId="0" borderId="0" xfId="0" applyNumberFormat="1"/>
    <xf numFmtId="0" fontId="2" fillId="2" borderId="0" xfId="3"/>
    <xf numFmtId="9" fontId="2" fillId="2" borderId="0" xfId="3" applyNumberFormat="1"/>
    <xf numFmtId="10" fontId="2" fillId="2" borderId="0" xfId="3" applyNumberFormat="1"/>
    <xf numFmtId="164" fontId="3" fillId="3" borderId="0" xfId="4" applyNumberFormat="1"/>
    <xf numFmtId="10" fontId="3" fillId="3" borderId="0" xfId="4" applyNumberFormat="1"/>
    <xf numFmtId="0" fontId="0" fillId="5" borderId="2" xfId="6" applyFont="1"/>
    <xf numFmtId="164" fontId="0" fillId="5" borderId="2" xfId="1" applyFont="1" applyFill="1" applyBorder="1"/>
    <xf numFmtId="164" fontId="3" fillId="6" borderId="0" xfId="7" applyNumberFormat="1"/>
    <xf numFmtId="2" fontId="4" fillId="4" borderId="1" xfId="5" applyNumberFormat="1"/>
    <xf numFmtId="164" fontId="4" fillId="4" borderId="1" xfId="5" applyNumberFormat="1"/>
    <xf numFmtId="0" fontId="4" fillId="4" borderId="1" xfId="5"/>
    <xf numFmtId="9" fontId="0" fillId="0" borderId="0" xfId="0" applyNumberFormat="1"/>
    <xf numFmtId="9" fontId="0" fillId="0" borderId="0" xfId="2" applyFont="1"/>
    <xf numFmtId="0" fontId="5" fillId="7" borderId="0" xfId="8"/>
    <xf numFmtId="9" fontId="6" fillId="0" borderId="0" xfId="2" applyFont="1"/>
    <xf numFmtId="9" fontId="0" fillId="0" borderId="0" xfId="0" quotePrefix="1" applyNumberFormat="1"/>
    <xf numFmtId="0" fontId="0" fillId="8" borderId="0" xfId="0" applyFill="1"/>
    <xf numFmtId="9" fontId="6" fillId="8" borderId="0" xfId="2" applyFont="1" applyFill="1"/>
    <xf numFmtId="9" fontId="0" fillId="8" borderId="0" xfId="2" applyFont="1" applyFill="1"/>
    <xf numFmtId="10" fontId="6" fillId="0" borderId="0" xfId="2" applyNumberFormat="1" applyFont="1"/>
  </cellXfs>
  <cellStyles count="9">
    <cellStyle name="Accent2" xfId="7" builtinId="33"/>
    <cellStyle name="Accent4" xfId="4" builtinId="41"/>
    <cellStyle name="Calculation" xfId="5" builtinId="22"/>
    <cellStyle name="Comma" xfId="1" builtinId="3"/>
    <cellStyle name="Good" xfId="3" builtinId="26"/>
    <cellStyle name="Neutral" xfId="8" builtinId="28"/>
    <cellStyle name="Normal" xfId="0" builtinId="0"/>
    <cellStyle name="Note" xfId="6" builtinId="1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AA61"/>
  <sheetViews>
    <sheetView workbookViewId="0">
      <selection activeCell="L19" sqref="L19"/>
    </sheetView>
  </sheetViews>
  <sheetFormatPr defaultRowHeight="14.25" x14ac:dyDescent="0.45"/>
  <cols>
    <col min="3" max="3" width="10" bestFit="1" customWidth="1"/>
    <col min="4" max="4" width="9.33203125" bestFit="1" customWidth="1"/>
    <col min="5" max="5" width="18.1328125" bestFit="1" customWidth="1"/>
    <col min="6" max="6" width="13.53125" bestFit="1" customWidth="1"/>
    <col min="8" max="8" width="10.1328125" style="7" bestFit="1" customWidth="1"/>
    <col min="9" max="9" width="9.33203125" style="8"/>
    <col min="10" max="10" width="15.86328125" style="8" bestFit="1" customWidth="1"/>
    <col min="11" max="11" width="9.33203125" style="8"/>
    <col min="16" max="16" width="10.1328125" bestFit="1" customWidth="1"/>
    <col min="19" max="19" width="16.1328125" bestFit="1" customWidth="1"/>
    <col min="20" max="20" width="23.33203125" bestFit="1" customWidth="1"/>
    <col min="21" max="21" width="12.3984375" bestFit="1" customWidth="1"/>
  </cols>
  <sheetData>
    <row r="3" spans="3:25" x14ac:dyDescent="0.45">
      <c r="T3" t="str">
        <f>_xll.xPutMultiStats(D4:F4,1,2,"stats")</f>
        <v>stats</v>
      </c>
    </row>
    <row r="4" spans="3:25" x14ac:dyDescent="0.45">
      <c r="C4" t="s">
        <v>27</v>
      </c>
      <c r="D4" s="11" t="s">
        <v>8</v>
      </c>
      <c r="E4" s="11" t="s">
        <v>9</v>
      </c>
      <c r="F4" s="11" t="s">
        <v>10</v>
      </c>
      <c r="H4" s="7" t="s">
        <v>39</v>
      </c>
    </row>
    <row r="5" spans="3:25" x14ac:dyDescent="0.45">
      <c r="C5" t="s">
        <v>3</v>
      </c>
      <c r="D5" s="13">
        <v>0.02</v>
      </c>
      <c r="H5" s="13">
        <v>0.01</v>
      </c>
      <c r="I5" s="13">
        <v>5.0000000000000001E-3</v>
      </c>
      <c r="J5" s="13">
        <v>7.4999999999999997E-3</v>
      </c>
    </row>
    <row r="6" spans="3:25" x14ac:dyDescent="0.45">
      <c r="C6" t="s">
        <v>7</v>
      </c>
      <c r="D6" s="12">
        <v>0.25</v>
      </c>
      <c r="H6" s="7" t="s">
        <v>4</v>
      </c>
      <c r="I6" s="8" t="s">
        <v>5</v>
      </c>
    </row>
    <row r="7" spans="3:25" x14ac:dyDescent="0.45">
      <c r="H7" s="14">
        <v>0.25</v>
      </c>
      <c r="I7" s="15">
        <v>0</v>
      </c>
      <c r="J7" s="15">
        <v>0</v>
      </c>
      <c r="K7" s="15">
        <v>0</v>
      </c>
    </row>
    <row r="8" spans="3:25" x14ac:dyDescent="0.45">
      <c r="C8" t="s">
        <v>0</v>
      </c>
      <c r="D8" s="11">
        <v>50</v>
      </c>
      <c r="E8" s="11">
        <v>100</v>
      </c>
      <c r="F8" s="11">
        <v>25</v>
      </c>
      <c r="H8" s="14">
        <v>0.5</v>
      </c>
      <c r="I8" s="15">
        <v>0</v>
      </c>
      <c r="J8" s="15">
        <v>0</v>
      </c>
      <c r="K8" s="15">
        <v>0</v>
      </c>
    </row>
    <row r="9" spans="3:25" x14ac:dyDescent="0.45">
      <c r="C9" t="s">
        <v>1</v>
      </c>
      <c r="D9" s="12">
        <v>0.2</v>
      </c>
      <c r="E9" s="12">
        <v>0.15</v>
      </c>
      <c r="F9" s="12">
        <v>0.25</v>
      </c>
    </row>
    <row r="10" spans="3:25" x14ac:dyDescent="0.45">
      <c r="C10" t="s">
        <v>2</v>
      </c>
      <c r="D10" s="11">
        <v>-0.4</v>
      </c>
      <c r="E10" s="11">
        <v>-0.05</v>
      </c>
      <c r="F10" s="11">
        <v>-0.5</v>
      </c>
    </row>
    <row r="11" spans="3:25" x14ac:dyDescent="0.45">
      <c r="C11" t="s">
        <v>6</v>
      </c>
      <c r="D11" s="2">
        <v>1</v>
      </c>
      <c r="E11">
        <f>D12</f>
        <v>0.8</v>
      </c>
      <c r="F11">
        <f>D13</f>
        <v>0.5</v>
      </c>
      <c r="T11" t="s">
        <v>23</v>
      </c>
      <c r="U11" t="b">
        <v>1</v>
      </c>
    </row>
    <row r="12" spans="3:25" x14ac:dyDescent="0.45">
      <c r="D12" s="11">
        <v>0.8</v>
      </c>
      <c r="E12" s="2">
        <v>1</v>
      </c>
      <c r="F12">
        <f>E13</f>
        <v>0.7</v>
      </c>
      <c r="T12" t="s">
        <v>22</v>
      </c>
      <c r="U12" t="b">
        <v>1</v>
      </c>
    </row>
    <row r="13" spans="3:25" x14ac:dyDescent="0.45">
      <c r="D13" s="11">
        <v>0.5</v>
      </c>
      <c r="E13" s="11">
        <v>0.7</v>
      </c>
      <c r="F13" s="2">
        <v>1</v>
      </c>
      <c r="T13" t="s">
        <v>21</v>
      </c>
      <c r="U13" s="2">
        <v>1000000</v>
      </c>
    </row>
    <row r="15" spans="3:25" x14ac:dyDescent="0.45">
      <c r="C15" s="3"/>
      <c r="D15" s="6"/>
      <c r="E15" s="4"/>
      <c r="F15" s="4"/>
      <c r="G15" s="4"/>
      <c r="H15" s="5"/>
      <c r="I15" s="6"/>
      <c r="J15" s="6"/>
      <c r="K15" s="6"/>
    </row>
    <row r="16" spans="3:25" x14ac:dyDescent="0.45">
      <c r="C16" s="4" t="s">
        <v>11</v>
      </c>
      <c r="D16" s="4" t="str">
        <f>_xll.xPutDLM(D4:F4,D8:F8,D9:F9,D10:F10,D5,H5:J5,H7:H8,I7:K8,D11:F13,D6,"dlm")</f>
        <v>dlm</v>
      </c>
      <c r="E16" s="4"/>
      <c r="F16" s="4"/>
      <c r="G16" s="4"/>
      <c r="H16" s="5"/>
      <c r="I16" s="6"/>
      <c r="J16" s="6"/>
      <c r="K16" s="6"/>
      <c r="O16" s="9"/>
      <c r="P16" s="9"/>
      <c r="Q16" s="9"/>
      <c r="R16" s="9"/>
      <c r="T16" t="str">
        <f t="array" ref="T16:V30">_xll.xValue(D16,T3,U12,,,U13,U11)</f>
        <v>google 1.00 2.00</v>
      </c>
      <c r="U16" s="9">
        <v>51.01016454437783</v>
      </c>
      <c r="V16" t="e">
        <v>#N/A</v>
      </c>
      <c r="W16" s="7">
        <f>D8*EXP(2*($D$5-H5))</f>
        <v>51.010067001337788</v>
      </c>
      <c r="Y16" s="9"/>
    </row>
    <row r="17" spans="2:27" x14ac:dyDescent="0.45">
      <c r="C17" s="4"/>
      <c r="D17" s="4"/>
      <c r="E17" s="4"/>
      <c r="F17" s="4"/>
      <c r="G17" s="4"/>
      <c r="H17" s="5"/>
      <c r="I17" s="6"/>
      <c r="J17" s="6"/>
      <c r="K17" s="6"/>
      <c r="O17" s="9"/>
      <c r="P17" s="9"/>
      <c r="Q17" s="9"/>
      <c r="R17" s="9"/>
      <c r="T17" t="str">
        <v>amazon 1.00 2.00</v>
      </c>
      <c r="U17" s="9">
        <v>103.04535496549822</v>
      </c>
      <c r="V17" t="e">
        <v>#N/A</v>
      </c>
      <c r="W17" s="7">
        <f>E8*EXP(2*($D$5-I5))</f>
        <v>103.0454533953517</v>
      </c>
      <c r="Y17" s="9"/>
    </row>
    <row r="18" spans="2:27" x14ac:dyDescent="0.45">
      <c r="C18" s="3" t="str">
        <f t="array" ref="C18:H30">_xll.xViewDLM(D16)</f>
        <v/>
      </c>
      <c r="D18" s="3" t="str">
        <v>dynamics</v>
      </c>
      <c r="E18" s="3" t="str">
        <v>alpha</v>
      </c>
      <c r="F18" s="4" t="str">
        <v>beta</v>
      </c>
      <c r="G18" s="4" t="e">
        <v>#N/A</v>
      </c>
      <c r="H18" s="5" t="e">
        <v>#N/A</v>
      </c>
      <c r="I18" s="6"/>
      <c r="J18" s="6"/>
      <c r="K18" s="6"/>
      <c r="O18" s="9"/>
      <c r="P18" s="9"/>
      <c r="Q18" s="9"/>
      <c r="R18" s="9"/>
      <c r="T18" t="str">
        <v>starbucks 1.00 2.00</v>
      </c>
      <c r="U18" s="9">
        <v>25.633417938570016</v>
      </c>
      <c r="V18" t="e">
        <v>#N/A</v>
      </c>
      <c r="W18" s="7">
        <f>F8*EXP(2*($D$5-J5))</f>
        <v>25.632878013110723</v>
      </c>
      <c r="Y18" s="9"/>
    </row>
    <row r="19" spans="2:27" x14ac:dyDescent="0.45">
      <c r="C19" s="4" t="str">
        <v>google</v>
      </c>
      <c r="D19" s="4" t="str">
        <v>subnormal</v>
      </c>
      <c r="E19" s="5">
        <v>66.666666666666657</v>
      </c>
      <c r="F19" s="5">
        <v>0.60000000000000009</v>
      </c>
      <c r="G19" s="4" t="e">
        <v>#N/A</v>
      </c>
      <c r="H19" s="5" t="e">
        <v>#N/A</v>
      </c>
      <c r="I19" s="6"/>
      <c r="J19" s="6"/>
      <c r="K19" s="6"/>
      <c r="O19" s="9"/>
      <c r="P19" s="9"/>
      <c r="Q19" s="9"/>
      <c r="R19" s="9"/>
      <c r="T19" t="str">
        <v>google google 1.00 2.00</v>
      </c>
      <c r="U19" s="9">
        <v>2717.4906033510347</v>
      </c>
      <c r="V19" t="e">
        <v>#N/A</v>
      </c>
      <c r="Y19" s="9"/>
    </row>
    <row r="20" spans="2:27" x14ac:dyDescent="0.45">
      <c r="C20" t="str">
        <v>amazon</v>
      </c>
      <c r="D20" t="str">
        <v>surnormal</v>
      </c>
      <c r="E20" s="7">
        <v>200.00000000000006</v>
      </c>
      <c r="F20" s="7">
        <v>4.9999999999999989E-2</v>
      </c>
      <c r="G20" t="e">
        <v>#N/A</v>
      </c>
      <c r="H20" s="7" t="e">
        <v>#N/A</v>
      </c>
      <c r="J20" s="6"/>
      <c r="K20" s="6"/>
      <c r="O20" s="9"/>
      <c r="P20" s="9"/>
      <c r="Q20" s="9"/>
      <c r="R20" s="9"/>
      <c r="T20" t="str">
        <v>amazon google 1.00 2.00</v>
      </c>
      <c r="U20" s="9">
        <v>5382.1604930710319</v>
      </c>
      <c r="V20" t="e">
        <v>#N/A</v>
      </c>
      <c r="Y20" s="9"/>
      <c r="AA20" s="7"/>
    </row>
    <row r="21" spans="2:27" x14ac:dyDescent="0.45">
      <c r="C21" t="str">
        <v>starbucks</v>
      </c>
      <c r="D21" t="str">
        <v>subnormal</v>
      </c>
      <c r="E21" s="7">
        <v>33.333333333333336</v>
      </c>
      <c r="F21" s="7">
        <v>0.75</v>
      </c>
      <c r="G21" t="e">
        <v>#N/A</v>
      </c>
      <c r="H21" s="7" t="e">
        <v>#N/A</v>
      </c>
      <c r="J21" s="6"/>
      <c r="K21" s="6"/>
      <c r="O21" s="9"/>
      <c r="P21" s="9"/>
      <c r="Q21" s="9"/>
      <c r="R21" s="9"/>
      <c r="T21" t="str">
        <v>amazon amazon 1.00 2.00</v>
      </c>
      <c r="U21" s="9">
        <v>10852.823468633802</v>
      </c>
      <c r="V21" t="e">
        <v>#N/A</v>
      </c>
      <c r="Y21" s="9"/>
    </row>
    <row r="22" spans="2:27" x14ac:dyDescent="0.45">
      <c r="C22" t="e">
        <v>#N/A</v>
      </c>
      <c r="D22" t="e">
        <v>#N/A</v>
      </c>
      <c r="E22" t="e">
        <v>#N/A</v>
      </c>
      <c r="F22" t="e">
        <v>#N/A</v>
      </c>
      <c r="G22" t="e">
        <v>#N/A</v>
      </c>
      <c r="H22" s="7" t="e">
        <v>#N/A</v>
      </c>
      <c r="J22" s="6"/>
      <c r="K22" s="6"/>
      <c r="O22" s="9"/>
      <c r="P22" s="9"/>
      <c r="Q22" s="9"/>
      <c r="R22" s="9"/>
      <c r="T22" t="str">
        <v>starbucks google 1.00 2.00</v>
      </c>
      <c r="U22" s="9">
        <v>1350.5556695677483</v>
      </c>
      <c r="V22" t="e">
        <v>#N/A</v>
      </c>
      <c r="Y22" s="9"/>
      <c r="AA22" s="7"/>
    </row>
    <row r="23" spans="2:27" x14ac:dyDescent="0.45">
      <c r="C23" t="e">
        <v>#N/A</v>
      </c>
      <c r="D23" t="e">
        <v>#N/A</v>
      </c>
      <c r="E23" t="e">
        <v>#N/A</v>
      </c>
      <c r="F23" t="e">
        <v>#N/A</v>
      </c>
      <c r="G23" t="e">
        <v>#N/A</v>
      </c>
      <c r="H23" s="7" t="e">
        <v>#N/A</v>
      </c>
      <c r="J23" s="6"/>
      <c r="K23" s="6"/>
      <c r="O23" s="9"/>
      <c r="P23" s="9"/>
      <c r="Q23" s="9"/>
      <c r="R23" s="9"/>
      <c r="T23" t="str">
        <v>starbucks amazon 1.00 2.00</v>
      </c>
      <c r="U23" s="9">
        <v>2712.5561131123955</v>
      </c>
      <c r="V23" t="e">
        <v>#N/A</v>
      </c>
      <c r="Y23" s="9"/>
      <c r="AA23" s="7"/>
    </row>
    <row r="24" spans="2:27" x14ac:dyDescent="0.45">
      <c r="C24" t="e">
        <v>#N/A</v>
      </c>
      <c r="D24" t="e">
        <v>#N/A</v>
      </c>
      <c r="E24" t="e">
        <v>#N/A</v>
      </c>
      <c r="F24" t="e">
        <v>#N/A</v>
      </c>
      <c r="G24" t="e">
        <v>#N/A</v>
      </c>
      <c r="H24" s="7" t="e">
        <v>#N/A</v>
      </c>
      <c r="J24" s="6"/>
      <c r="K24" s="6"/>
      <c r="O24" s="9"/>
      <c r="P24" s="9"/>
      <c r="Q24" s="9"/>
      <c r="R24" s="9"/>
      <c r="T24" t="str">
        <v>starbucks starbucks 1.00 2.00</v>
      </c>
      <c r="U24" s="9">
        <v>706.68175945278654</v>
      </c>
      <c r="V24" t="e">
        <v>#N/A</v>
      </c>
      <c r="Y24" s="9"/>
    </row>
    <row r="25" spans="2:27" x14ac:dyDescent="0.45">
      <c r="C25" t="e">
        <v>#N/A</v>
      </c>
      <c r="D25" t="e">
        <v>#N/A</v>
      </c>
      <c r="E25" t="e">
        <v>#N/A</v>
      </c>
      <c r="F25" t="e">
        <v>#N/A</v>
      </c>
      <c r="G25" t="e">
        <v>#N/A</v>
      </c>
      <c r="H25" s="7" t="e">
        <v>#N/A</v>
      </c>
      <c r="J25" s="6"/>
      <c r="K25" s="6"/>
      <c r="T25" t="e">
        <v>#N/A</v>
      </c>
      <c r="U25" t="e">
        <v>#N/A</v>
      </c>
      <c r="V25" t="e">
        <v>#N/A</v>
      </c>
    </row>
    <row r="26" spans="2:27" x14ac:dyDescent="0.45">
      <c r="C26" t="e">
        <v>#N/A</v>
      </c>
      <c r="D26" t="e">
        <v>#N/A</v>
      </c>
      <c r="E26" t="e">
        <v>#N/A</v>
      </c>
      <c r="F26" t="e">
        <v>#N/A</v>
      </c>
      <c r="G26" t="e">
        <v>#N/A</v>
      </c>
      <c r="H26" s="7" t="e">
        <v>#N/A</v>
      </c>
      <c r="J26" s="6"/>
      <c r="K26" s="6"/>
      <c r="T26" t="e">
        <v>#N/A</v>
      </c>
      <c r="U26" t="e">
        <v>#N/A</v>
      </c>
      <c r="V26" t="e">
        <v>#N/A</v>
      </c>
    </row>
    <row r="27" spans="2:27" x14ac:dyDescent="0.45">
      <c r="C27" t="e">
        <v>#N/A</v>
      </c>
      <c r="D27" t="e">
        <v>#N/A</v>
      </c>
      <c r="E27" t="e">
        <v>#N/A</v>
      </c>
      <c r="F27" t="e">
        <v>#N/A</v>
      </c>
      <c r="G27" t="e">
        <v>#N/A</v>
      </c>
      <c r="H27" s="7" t="e">
        <v>#N/A</v>
      </c>
      <c r="J27" s="6"/>
      <c r="K27" s="6"/>
      <c r="T27" t="e">
        <v>#N/A</v>
      </c>
      <c r="U27" t="e">
        <v>#N/A</v>
      </c>
      <c r="V27" t="e">
        <v>#N/A</v>
      </c>
    </row>
    <row r="28" spans="2:27" x14ac:dyDescent="0.45">
      <c r="C28" t="e">
        <v>#N/A</v>
      </c>
      <c r="D28" t="e">
        <v>#N/A</v>
      </c>
      <c r="E28" t="e">
        <v>#N/A</v>
      </c>
      <c r="F28" t="e">
        <v>#N/A</v>
      </c>
      <c r="G28" t="e">
        <v>#N/A</v>
      </c>
      <c r="H28" s="7" t="e">
        <v>#N/A</v>
      </c>
      <c r="J28" s="6"/>
      <c r="K28" s="6"/>
      <c r="T28" t="e">
        <v>#N/A</v>
      </c>
      <c r="U28" t="e">
        <v>#N/A</v>
      </c>
      <c r="V28" t="e">
        <v>#N/A</v>
      </c>
    </row>
    <row r="29" spans="2:27" x14ac:dyDescent="0.45">
      <c r="C29" t="e">
        <v>#N/A</v>
      </c>
      <c r="D29" t="e">
        <v>#N/A</v>
      </c>
      <c r="E29" t="e">
        <v>#N/A</v>
      </c>
      <c r="F29" t="e">
        <v>#N/A</v>
      </c>
      <c r="G29" t="e">
        <v>#N/A</v>
      </c>
      <c r="H29" s="7" t="e">
        <v>#N/A</v>
      </c>
      <c r="J29" s="6"/>
      <c r="K29" s="6"/>
      <c r="T29" t="e">
        <v>#N/A</v>
      </c>
      <c r="U29" t="e">
        <v>#N/A</v>
      </c>
      <c r="V29" t="e">
        <v>#N/A</v>
      </c>
    </row>
    <row r="30" spans="2:27" x14ac:dyDescent="0.45">
      <c r="C30" t="e">
        <v>#N/A</v>
      </c>
      <c r="D30" t="e">
        <v>#N/A</v>
      </c>
      <c r="E30" t="e">
        <v>#N/A</v>
      </c>
      <c r="F30" t="e">
        <v>#N/A</v>
      </c>
      <c r="G30" t="e">
        <v>#N/A</v>
      </c>
      <c r="H30" s="7" t="e">
        <v>#N/A</v>
      </c>
      <c r="J30" s="6"/>
      <c r="K30" s="6"/>
      <c r="T30" t="e">
        <v>#N/A</v>
      </c>
      <c r="U30" t="e">
        <v>#N/A</v>
      </c>
      <c r="V30" t="e">
        <v>#N/A</v>
      </c>
    </row>
    <row r="31" spans="2:27" x14ac:dyDescent="0.45">
      <c r="J31" s="6"/>
      <c r="K31" s="6"/>
    </row>
    <row r="32" spans="2:27" x14ac:dyDescent="0.45">
      <c r="B32" t="s">
        <v>19</v>
      </c>
      <c r="D32" t="s">
        <v>17</v>
      </c>
      <c r="E32" t="s">
        <v>16</v>
      </c>
      <c r="F32" t="s">
        <v>24</v>
      </c>
      <c r="G32" t="s">
        <v>18</v>
      </c>
      <c r="H32" t="s">
        <v>20</v>
      </c>
      <c r="J32" s="6"/>
      <c r="K32" s="6"/>
    </row>
    <row r="33" spans="2:25" x14ac:dyDescent="0.45">
      <c r="B33">
        <f t="array" ref="B33:B35">TRANSPOSE(D8:F8)</f>
        <v>50</v>
      </c>
      <c r="C33" t="str">
        <f>C19</f>
        <v>google</v>
      </c>
      <c r="D33" s="7">
        <f>IF(F19=0,0.000001,F19)</f>
        <v>0.60000000000000009</v>
      </c>
      <c r="E33" s="7">
        <f>IF(F19=0,E19/D33,E19)</f>
        <v>66.666666666666657</v>
      </c>
      <c r="F33" s="7">
        <f>IF(D19="subnormal",E33-B33,E33+B33)</f>
        <v>16.666666666666657</v>
      </c>
      <c r="G33" s="7">
        <f>F33^2*(EXP(D33^2)-1)</f>
        <v>120.36928182231664</v>
      </c>
      <c r="H33" s="7">
        <f>SQRT(G33)</f>
        <v>10.971293534598217</v>
      </c>
      <c r="J33" s="6"/>
      <c r="K33" s="6"/>
      <c r="W33" t="s">
        <v>12</v>
      </c>
    </row>
    <row r="34" spans="2:25" x14ac:dyDescent="0.45">
      <c r="B34">
        <v>100</v>
      </c>
      <c r="C34" t="str">
        <f>C20</f>
        <v>amazon</v>
      </c>
      <c r="D34" s="7">
        <f>IF(F20=0,0.0000000001,F20)</f>
        <v>4.9999999999999989E-2</v>
      </c>
      <c r="E34" s="7">
        <f>IF(F20=0,E20/D34,E20)</f>
        <v>200.00000000000006</v>
      </c>
      <c r="F34" s="7">
        <f>IF(D20="subnormal",E34-B34,E34+B34)</f>
        <v>300.00000000000006</v>
      </c>
      <c r="G34" s="7">
        <f t="shared" ref="G34:G35" si="0">F34^2*(EXP(D34^2)-1)</f>
        <v>225.2814845215668</v>
      </c>
      <c r="H34" s="7">
        <f>SQRT(G34)</f>
        <v>15.009379884644362</v>
      </c>
      <c r="J34" s="8" t="str">
        <f>C33&amp;"/"&amp;C34</f>
        <v>google/amazon</v>
      </c>
      <c r="K34" s="8" t="s">
        <v>25</v>
      </c>
      <c r="L34" s="1">
        <f>D12*(1-D6)+D6</f>
        <v>0.85000000000000009</v>
      </c>
      <c r="M34" t="s">
        <v>28</v>
      </c>
      <c r="N34">
        <f>IF(D19="subnormal",-1,1)*IF(D20="subnormal",-1,1)</f>
        <v>-1</v>
      </c>
      <c r="O34" s="6" t="s">
        <v>13</v>
      </c>
      <c r="P34" s="10">
        <f>N34*F33*F34*(EXP(N34*L34*D33*D34)-1)</f>
        <v>125.88810517129451</v>
      </c>
      <c r="Q34" s="10" t="s">
        <v>29</v>
      </c>
      <c r="R34" s="10">
        <f>W49</f>
        <v>125.79998074714695</v>
      </c>
      <c r="V34" t="str">
        <f t="array" ref="V34:V36">TRANSPOSE(D4:F4)</f>
        <v>google</v>
      </c>
      <c r="W34" s="9">
        <f>U16</f>
        <v>51.01016454437783</v>
      </c>
    </row>
    <row r="35" spans="2:25" x14ac:dyDescent="0.45">
      <c r="B35">
        <v>25</v>
      </c>
      <c r="C35" t="str">
        <f>C21</f>
        <v>starbucks</v>
      </c>
      <c r="D35" s="7">
        <f>IF(F21=0,0.0000000001,F21)</f>
        <v>0.75</v>
      </c>
      <c r="E35" s="7">
        <f>IF(F21=0,E21/D35,E21)</f>
        <v>33.333333333333336</v>
      </c>
      <c r="F35" s="7">
        <f>IF(D21="subnormal",E35-B35,E35+B35)</f>
        <v>8.3333333333333357</v>
      </c>
      <c r="G35" s="7">
        <f t="shared" si="0"/>
        <v>52.43435117779854</v>
      </c>
      <c r="H35" s="7">
        <f>SQRT(G35)</f>
        <v>7.2411567568861912</v>
      </c>
      <c r="J35" s="6" t="str">
        <f>C34&amp;"/"&amp;C35</f>
        <v>amazon/starbucks</v>
      </c>
      <c r="K35" s="8" t="s">
        <v>25</v>
      </c>
      <c r="L35" s="8">
        <f>E13*(1-D6)+D6</f>
        <v>0.77499999999999991</v>
      </c>
      <c r="M35" t="s">
        <v>28</v>
      </c>
      <c r="N35">
        <f>IF(D20="subnormal",-1,1)*IF(D21="subnormal",-1,1)</f>
        <v>-1</v>
      </c>
      <c r="O35" s="6" t="s">
        <v>13</v>
      </c>
      <c r="P35" s="10">
        <f>N35*F34*F35*(EXP(N35*L35*D34*D35)-1)</f>
        <v>71.61061791291533</v>
      </c>
      <c r="Q35" s="10" t="s">
        <v>29</v>
      </c>
      <c r="R35" s="10">
        <f>Y49</f>
        <v>71.151462653478575</v>
      </c>
      <c r="V35" t="str">
        <v>amazon</v>
      </c>
      <c r="W35" s="9">
        <f>U17</f>
        <v>103.04535496549822</v>
      </c>
    </row>
    <row r="36" spans="2:25" x14ac:dyDescent="0.45">
      <c r="J36" s="6" t="s">
        <v>26</v>
      </c>
      <c r="K36" s="6" t="s">
        <v>25</v>
      </c>
      <c r="L36" s="8">
        <f>D13*(1-D6)+D6</f>
        <v>0.625</v>
      </c>
      <c r="M36" t="s">
        <v>28</v>
      </c>
      <c r="N36">
        <f>IF(D19="subnormal",-1,1)*IF(D21="subnormal",-1,1)</f>
        <v>1</v>
      </c>
      <c r="O36" s="6" t="s">
        <v>13</v>
      </c>
      <c r="P36" s="10">
        <f>N36*F33*F35*(EXP(N36*L36*D33*D35)-1)</f>
        <v>45.108994267898005</v>
      </c>
      <c r="Q36" s="10" t="s">
        <v>29</v>
      </c>
      <c r="R36" s="10">
        <f>W50</f>
        <v>42.990802686485495</v>
      </c>
      <c r="V36" t="str">
        <v>starbucks</v>
      </c>
      <c r="W36" s="9">
        <f>U18</f>
        <v>25.633417938570016</v>
      </c>
    </row>
    <row r="37" spans="2:25" x14ac:dyDescent="0.45">
      <c r="J37" s="6"/>
      <c r="K37" s="6"/>
    </row>
    <row r="38" spans="2:25" x14ac:dyDescent="0.45">
      <c r="J38" s="6"/>
      <c r="K38" s="6"/>
      <c r="W38" t="s">
        <v>14</v>
      </c>
    </row>
    <row r="39" spans="2:25" x14ac:dyDescent="0.45">
      <c r="C39" s="4"/>
      <c r="D39" s="4"/>
      <c r="E39" s="4"/>
      <c r="F39" s="4"/>
      <c r="G39" s="4"/>
      <c r="H39" s="5"/>
      <c r="I39" s="6"/>
      <c r="J39" s="6"/>
      <c r="K39" s="6"/>
      <c r="W39" s="7">
        <f t="array" ref="W39:Y39">TRANSPOSE(U41:U43)</f>
        <v>51.01016454437783</v>
      </c>
      <c r="X39" s="7">
        <v>103.04535496549822</v>
      </c>
      <c r="Y39" s="7">
        <v>25.633417938570016</v>
      </c>
    </row>
    <row r="40" spans="2:25" x14ac:dyDescent="0.45">
      <c r="C40" s="4"/>
      <c r="D40" s="4"/>
      <c r="E40" s="4"/>
      <c r="F40" s="4"/>
      <c r="G40" s="4"/>
      <c r="H40" s="5"/>
      <c r="I40" s="6"/>
      <c r="J40" s="6"/>
      <c r="K40" s="6"/>
      <c r="W40" t="str">
        <f t="array" ref="W40:Y40">TRANSPOSE(V41:V43)</f>
        <v>google</v>
      </c>
      <c r="X40" t="str">
        <v>amazon</v>
      </c>
      <c r="Y40" t="str">
        <v>starbucks</v>
      </c>
    </row>
    <row r="41" spans="2:25" x14ac:dyDescent="0.45">
      <c r="C41" s="4"/>
      <c r="D41" s="4"/>
      <c r="E41" s="4"/>
      <c r="F41" s="4"/>
      <c r="G41" s="4"/>
      <c r="H41" s="5"/>
      <c r="I41" s="6"/>
      <c r="J41" s="6"/>
      <c r="K41" s="6"/>
      <c r="U41" s="7">
        <f t="array" ref="U41:U43">W34:W36</f>
        <v>51.01016454437783</v>
      </c>
      <c r="V41" t="str">
        <f t="array" ref="V41:V43">V34:V36</f>
        <v>google</v>
      </c>
      <c r="W41" s="9">
        <f>U19</f>
        <v>2717.4906033510347</v>
      </c>
      <c r="X41" s="9">
        <f>W42</f>
        <v>5382.1604930710319</v>
      </c>
      <c r="Y41" s="9">
        <f>W43</f>
        <v>1350.5556695677483</v>
      </c>
    </row>
    <row r="42" spans="2:25" x14ac:dyDescent="0.45">
      <c r="C42" s="4"/>
      <c r="D42" s="4"/>
      <c r="E42" s="4"/>
      <c r="F42" s="4"/>
      <c r="G42" s="4"/>
      <c r="H42" s="5"/>
      <c r="I42" s="6"/>
      <c r="J42" s="6"/>
      <c r="K42" s="6"/>
      <c r="U42" s="7">
        <v>103.04535496549822</v>
      </c>
      <c r="V42" t="str">
        <v>amazon</v>
      </c>
      <c r="W42" s="9">
        <f>U20</f>
        <v>5382.1604930710319</v>
      </c>
      <c r="X42" s="9">
        <f>U21</f>
        <v>10852.823468633802</v>
      </c>
      <c r="Y42" s="9">
        <f>X43</f>
        <v>2712.5561131123955</v>
      </c>
    </row>
    <row r="43" spans="2:25" x14ac:dyDescent="0.45">
      <c r="C43" s="4"/>
      <c r="D43" s="4"/>
      <c r="E43" s="4"/>
      <c r="F43" s="4"/>
      <c r="G43" s="4"/>
      <c r="H43" s="5"/>
      <c r="I43" s="6"/>
      <c r="J43" s="6"/>
      <c r="K43" s="6"/>
      <c r="U43" s="7">
        <v>25.633417938570016</v>
      </c>
      <c r="V43" t="str">
        <v>starbucks</v>
      </c>
      <c r="W43" s="9">
        <f>U22</f>
        <v>1350.5556695677483</v>
      </c>
      <c r="X43" s="9">
        <f>U23</f>
        <v>2712.5561131123955</v>
      </c>
      <c r="Y43" s="9">
        <f>U24</f>
        <v>706.68175945278654</v>
      </c>
    </row>
    <row r="44" spans="2:25" x14ac:dyDescent="0.45">
      <c r="C44" s="4"/>
      <c r="D44" s="4"/>
      <c r="E44" s="4"/>
      <c r="F44" s="4"/>
      <c r="G44" s="4"/>
      <c r="H44" s="5"/>
      <c r="I44" s="6"/>
      <c r="J44" s="6"/>
      <c r="K44" s="6"/>
    </row>
    <row r="45" spans="2:25" x14ac:dyDescent="0.45">
      <c r="C45" s="4"/>
      <c r="D45" s="4"/>
      <c r="E45" s="4"/>
      <c r="F45" s="4"/>
      <c r="G45" s="4"/>
      <c r="H45" s="5"/>
      <c r="I45" s="6"/>
      <c r="J45" s="6"/>
      <c r="K45" s="6"/>
      <c r="W45" t="s">
        <v>13</v>
      </c>
    </row>
    <row r="46" spans="2:25" x14ac:dyDescent="0.45">
      <c r="C46" s="4"/>
      <c r="D46" s="4"/>
      <c r="E46" s="4"/>
      <c r="F46" s="4"/>
      <c r="G46" s="4"/>
      <c r="H46" s="5"/>
      <c r="I46" s="6"/>
      <c r="J46" s="6"/>
      <c r="K46" s="6"/>
      <c r="W46" s="7">
        <f t="array" ref="W46:Y46">W39:Y39</f>
        <v>51.01016454437783</v>
      </c>
      <c r="X46" s="7">
        <v>103.04535496549822</v>
      </c>
      <c r="Y46" s="7">
        <v>25.633417938570016</v>
      </c>
    </row>
    <row r="47" spans="2:25" x14ac:dyDescent="0.45">
      <c r="C47" s="4"/>
      <c r="D47" s="4"/>
      <c r="E47" s="4"/>
      <c r="F47" s="4"/>
      <c r="G47" s="4"/>
      <c r="H47" s="5"/>
      <c r="I47" s="6"/>
      <c r="J47" s="6"/>
      <c r="K47" s="6"/>
      <c r="W47" t="str">
        <f t="array" ref="W47:Y47">TRANSPOSE(V48:V50)</f>
        <v>google</v>
      </c>
      <c r="X47" t="str">
        <v>amazon</v>
      </c>
      <c r="Y47" t="str">
        <v>starbucks</v>
      </c>
    </row>
    <row r="48" spans="2:25" x14ac:dyDescent="0.45">
      <c r="C48" s="4"/>
      <c r="D48" s="4"/>
      <c r="E48" s="4"/>
      <c r="F48" s="4"/>
      <c r="G48" s="4"/>
      <c r="H48" s="5"/>
      <c r="I48" s="6"/>
      <c r="J48" s="6"/>
      <c r="K48" s="6"/>
      <c r="U48" s="7">
        <f t="array" ref="U48:U50">U41:U43</f>
        <v>51.01016454437783</v>
      </c>
      <c r="V48" t="str">
        <f t="array" ref="V48:V50">V41:V43</f>
        <v>google</v>
      </c>
      <c r="W48" s="9">
        <f>W41-$U48*W$46</f>
        <v>115.45371650653351</v>
      </c>
      <c r="X48" s="9">
        <f t="shared" ref="X48:Y48" si="1">X41-$U48*X$46</f>
        <v>125.79998074714695</v>
      </c>
      <c r="Y48" s="9">
        <f t="shared" si="1"/>
        <v>42.990802686485495</v>
      </c>
    </row>
    <row r="49" spans="3:25" x14ac:dyDescent="0.45">
      <c r="C49" s="4"/>
      <c r="D49" s="4"/>
      <c r="E49" s="4"/>
      <c r="F49" s="4"/>
      <c r="G49" s="4"/>
      <c r="H49" s="5"/>
      <c r="I49" s="6"/>
      <c r="J49" s="6"/>
      <c r="K49" s="6"/>
      <c r="U49" s="7">
        <v>103.04535496549822</v>
      </c>
      <c r="V49" t="str">
        <v>amazon</v>
      </c>
      <c r="W49" s="9">
        <f t="shared" ref="W49:Y49" si="2">W42-$U49*W$46</f>
        <v>125.79998074714695</v>
      </c>
      <c r="X49" s="9">
        <f t="shared" si="2"/>
        <v>234.47828866827331</v>
      </c>
      <c r="Y49" s="9">
        <f t="shared" si="2"/>
        <v>71.151462653478575</v>
      </c>
    </row>
    <row r="50" spans="3:25" x14ac:dyDescent="0.45">
      <c r="C50" s="4"/>
      <c r="D50" s="4"/>
      <c r="E50" s="4"/>
      <c r="F50" s="4"/>
      <c r="G50" s="4"/>
      <c r="H50" s="5"/>
      <c r="I50" s="6"/>
      <c r="J50" s="6"/>
      <c r="K50" s="6"/>
      <c r="U50" s="7">
        <v>25.633417938570016</v>
      </c>
      <c r="V50" t="str">
        <v>starbucks</v>
      </c>
      <c r="W50" s="9">
        <f t="shared" ref="W50:Y50" si="3">W43-$U50*W$46</f>
        <v>42.990802686485495</v>
      </c>
      <c r="X50" s="9">
        <f t="shared" si="3"/>
        <v>71.151462653478575</v>
      </c>
      <c r="Y50" s="9">
        <f t="shared" si="3"/>
        <v>49.609644239383442</v>
      </c>
    </row>
    <row r="51" spans="3:25" x14ac:dyDescent="0.45">
      <c r="C51" s="4"/>
      <c r="D51" s="4"/>
      <c r="E51" s="4"/>
      <c r="F51" s="4"/>
      <c r="G51" s="4"/>
      <c r="H51" s="5"/>
      <c r="I51" s="6"/>
      <c r="J51" s="6"/>
      <c r="K51" s="6"/>
    </row>
    <row r="52" spans="3:25" x14ac:dyDescent="0.45">
      <c r="C52" s="4"/>
      <c r="D52" s="4"/>
      <c r="E52" s="4"/>
      <c r="F52" s="4"/>
      <c r="G52" s="4"/>
      <c r="H52" s="5"/>
      <c r="I52" s="6"/>
      <c r="J52" s="6"/>
      <c r="K52" s="6"/>
      <c r="W52" t="s">
        <v>15</v>
      </c>
    </row>
    <row r="53" spans="3:25" x14ac:dyDescent="0.45">
      <c r="C53" s="4"/>
      <c r="D53" s="4"/>
      <c r="E53" s="4"/>
      <c r="F53" s="4"/>
      <c r="G53" s="4"/>
      <c r="H53" s="5"/>
      <c r="I53" s="6"/>
      <c r="J53" s="6"/>
      <c r="K53" s="6"/>
      <c r="W53" s="7">
        <f>SQRT(W48)</f>
        <v>10.744939111346024</v>
      </c>
      <c r="X53" s="7">
        <f>SQRT(X49)</f>
        <v>15.312683914594244</v>
      </c>
      <c r="Y53" s="7">
        <f>SQRT(Y50)</f>
        <v>7.0434114063700299</v>
      </c>
    </row>
    <row r="54" spans="3:25" x14ac:dyDescent="0.45">
      <c r="C54" s="4"/>
      <c r="D54" s="4"/>
      <c r="E54" s="4"/>
      <c r="F54" s="4"/>
      <c r="G54" s="4"/>
      <c r="H54" s="5"/>
      <c r="I54" s="6"/>
      <c r="J54" s="6"/>
      <c r="K54" s="6"/>
      <c r="W54" t="str">
        <f t="array" ref="W54:Y54">TRANSPOSE(V55:V57)</f>
        <v>google</v>
      </c>
      <c r="X54" t="str">
        <v>amazon</v>
      </c>
      <c r="Y54" t="str">
        <v>starbucks</v>
      </c>
    </row>
    <row r="55" spans="3:25" x14ac:dyDescent="0.45">
      <c r="C55" s="4"/>
      <c r="D55" s="4"/>
      <c r="E55" s="4"/>
      <c r="F55" s="4"/>
      <c r="G55" s="4"/>
      <c r="H55" s="5"/>
      <c r="I55" s="6"/>
      <c r="J55" s="6"/>
      <c r="K55" s="6"/>
      <c r="T55" s="10">
        <f>U55/W34</f>
        <v>0.21064309843576648</v>
      </c>
      <c r="U55" s="7">
        <f t="array" ref="U55:U57">TRANSPOSE(W53:Y53)</f>
        <v>10.744939111346024</v>
      </c>
      <c r="V55" t="str">
        <f t="array" ref="V55:V57">V48:V50</f>
        <v>google</v>
      </c>
      <c r="W55" s="9">
        <f>W48/$U55/W$53</f>
        <v>1.0000000000000002</v>
      </c>
      <c r="X55" s="9">
        <f t="shared" ref="X55:Y55" si="4">X48/$U55/X$53</f>
        <v>0.7645841626823775</v>
      </c>
      <c r="Y55" s="9">
        <f t="shared" si="4"/>
        <v>0.56805258282582716</v>
      </c>
    </row>
    <row r="56" spans="3:25" x14ac:dyDescent="0.45">
      <c r="C56" s="4"/>
      <c r="D56" s="4"/>
      <c r="E56" s="4"/>
      <c r="F56" s="4"/>
      <c r="G56" s="4"/>
      <c r="H56" s="5"/>
      <c r="I56" s="6"/>
      <c r="J56" s="6"/>
      <c r="K56" s="6"/>
      <c r="T56" s="10">
        <f>U56/W35</f>
        <v>0.14860139906084321</v>
      </c>
      <c r="U56" s="7">
        <v>15.312683914594244</v>
      </c>
      <c r="V56" t="str">
        <v>amazon</v>
      </c>
      <c r="W56" s="9">
        <f t="shared" ref="W56:Y56" si="5">W49/$U56/W$53</f>
        <v>0.76458416268237739</v>
      </c>
      <c r="X56" s="9">
        <f t="shared" si="5"/>
        <v>1.0000000000000002</v>
      </c>
      <c r="Y56" s="9">
        <f t="shared" si="5"/>
        <v>0.65970451754100423</v>
      </c>
    </row>
    <row r="57" spans="3:25" x14ac:dyDescent="0.45">
      <c r="C57" s="4"/>
      <c r="D57" s="4"/>
      <c r="E57" s="4"/>
      <c r="F57" s="4"/>
      <c r="G57" s="4"/>
      <c r="H57" s="5"/>
      <c r="I57" s="6"/>
      <c r="J57" s="6"/>
      <c r="K57" s="6"/>
      <c r="T57" s="10">
        <f>U57/W36</f>
        <v>0.27477457057226734</v>
      </c>
      <c r="U57" s="7">
        <v>7.0434114063700299</v>
      </c>
      <c r="V57" t="str">
        <v>starbucks</v>
      </c>
      <c r="W57" s="9">
        <f t="shared" ref="W57:Y57" si="6">W50/$U57/W$53</f>
        <v>0.56805258282582716</v>
      </c>
      <c r="X57" s="9">
        <f t="shared" si="6"/>
        <v>0.65970451754100423</v>
      </c>
      <c r="Y57" s="9">
        <f t="shared" si="6"/>
        <v>1</v>
      </c>
    </row>
    <row r="58" spans="3:25" x14ac:dyDescent="0.45">
      <c r="C58" s="4"/>
      <c r="D58" s="4"/>
      <c r="E58" s="4"/>
      <c r="F58" s="4"/>
      <c r="G58" s="4"/>
      <c r="H58" s="5"/>
      <c r="I58" s="6"/>
      <c r="J58" s="6"/>
      <c r="K58" s="6"/>
    </row>
    <row r="59" spans="3:25" x14ac:dyDescent="0.45">
      <c r="C59" s="4"/>
      <c r="D59" s="4"/>
      <c r="E59" s="4"/>
      <c r="F59" s="4"/>
      <c r="G59" s="4"/>
      <c r="H59" s="5"/>
      <c r="I59" s="6"/>
      <c r="J59" s="6"/>
      <c r="K59" s="6"/>
    </row>
    <row r="60" spans="3:25" x14ac:dyDescent="0.45">
      <c r="C60" s="4"/>
      <c r="D60" s="4"/>
      <c r="E60" s="4"/>
      <c r="F60" s="4"/>
      <c r="G60" s="4"/>
      <c r="H60" s="5"/>
      <c r="I60" s="6"/>
      <c r="J60" s="6"/>
      <c r="K60" s="6"/>
    </row>
    <row r="61" spans="3:25" x14ac:dyDescent="0.45">
      <c r="C61" s="4"/>
      <c r="D61" s="4"/>
      <c r="E61" s="4"/>
      <c r="F61" s="4"/>
      <c r="G61" s="4"/>
      <c r="H61" s="5"/>
      <c r="I61" s="6"/>
      <c r="J61" s="6"/>
      <c r="K61" s="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AA80"/>
  <sheetViews>
    <sheetView workbookViewId="0">
      <selection activeCell="J23" sqref="J23"/>
    </sheetView>
  </sheetViews>
  <sheetFormatPr defaultRowHeight="14.25" x14ac:dyDescent="0.45"/>
  <cols>
    <col min="3" max="3" width="10" bestFit="1" customWidth="1"/>
    <col min="4" max="4" width="9.33203125" bestFit="1" customWidth="1"/>
    <col min="5" max="5" width="18.1328125" bestFit="1" customWidth="1"/>
    <col min="6" max="6" width="13.53125" bestFit="1" customWidth="1"/>
    <col min="8" max="8" width="10.1328125" style="7" bestFit="1" customWidth="1"/>
    <col min="9" max="9" width="9.33203125" style="8"/>
    <col min="10" max="10" width="15.86328125" style="8" bestFit="1" customWidth="1"/>
    <col min="11" max="11" width="9.33203125" style="8"/>
    <col min="16" max="16" width="10.1328125" bestFit="1" customWidth="1"/>
    <col min="19" max="19" width="16.1328125" bestFit="1" customWidth="1"/>
    <col min="20" max="20" width="34.3984375" bestFit="1" customWidth="1"/>
    <col min="21" max="21" width="12.3984375" bestFit="1" customWidth="1"/>
    <col min="22" max="22" width="10.1328125" bestFit="1" customWidth="1"/>
    <col min="23" max="23" width="11.6640625" bestFit="1" customWidth="1"/>
    <col min="25" max="25" width="10.1328125" bestFit="1" customWidth="1"/>
  </cols>
  <sheetData>
    <row r="2" spans="3:25" x14ac:dyDescent="0.45">
      <c r="X2" t="s">
        <v>30</v>
      </c>
      <c r="Y2" t="s">
        <v>31</v>
      </c>
    </row>
    <row r="3" spans="3:25" x14ac:dyDescent="0.45">
      <c r="H3" s="7" t="s">
        <v>39</v>
      </c>
      <c r="T3" t="str">
        <f>_xll.xPutMultiStats(D4:F4,X3:X4,Y3:Y4,"stats")</f>
        <v>stats</v>
      </c>
      <c r="X3">
        <v>0.5</v>
      </c>
      <c r="Y3">
        <v>0.5</v>
      </c>
    </row>
    <row r="4" spans="3:25" x14ac:dyDescent="0.45">
      <c r="C4" t="s">
        <v>27</v>
      </c>
      <c r="D4" s="11" t="s">
        <v>8</v>
      </c>
      <c r="E4" s="11" t="s">
        <v>9</v>
      </c>
      <c r="F4" s="11" t="s">
        <v>10</v>
      </c>
      <c r="H4" s="13">
        <v>0.01</v>
      </c>
      <c r="I4" s="13">
        <v>0.01</v>
      </c>
      <c r="J4" s="13">
        <v>0.01</v>
      </c>
      <c r="T4" t="str">
        <f>_xll.xPutMultiStats(D4:F4,X4,Y4,"stats2")</f>
        <v>stats2</v>
      </c>
      <c r="X4">
        <v>1</v>
      </c>
      <c r="Y4">
        <v>1</v>
      </c>
    </row>
    <row r="5" spans="3:25" x14ac:dyDescent="0.45">
      <c r="C5" t="s">
        <v>3</v>
      </c>
      <c r="D5" s="13">
        <v>0.02</v>
      </c>
      <c r="I5" s="8" t="s">
        <v>5</v>
      </c>
    </row>
    <row r="6" spans="3:25" x14ac:dyDescent="0.45">
      <c r="C6" t="s">
        <v>7</v>
      </c>
      <c r="D6" s="12">
        <v>0</v>
      </c>
      <c r="H6" s="7" t="s">
        <v>4</v>
      </c>
      <c r="I6" s="8" t="str">
        <f t="array" ref="I6:K6">D4:F4</f>
        <v>google</v>
      </c>
      <c r="J6" s="8" t="str">
        <v>amazon</v>
      </c>
      <c r="K6" s="8" t="str">
        <v>starbucks</v>
      </c>
    </row>
    <row r="7" spans="3:25" x14ac:dyDescent="0.45">
      <c r="H7" s="14">
        <v>0.25</v>
      </c>
      <c r="I7" s="15">
        <v>0</v>
      </c>
      <c r="J7" s="15">
        <v>0.05</v>
      </c>
      <c r="K7" s="15">
        <v>0.1</v>
      </c>
    </row>
    <row r="8" spans="3:25" x14ac:dyDescent="0.45">
      <c r="C8" t="s">
        <v>0</v>
      </c>
      <c r="D8" s="11">
        <v>50</v>
      </c>
      <c r="E8" s="11">
        <v>100</v>
      </c>
      <c r="F8" s="11">
        <v>25</v>
      </c>
      <c r="H8" s="14">
        <v>0.75</v>
      </c>
      <c r="I8" s="15">
        <v>0.08</v>
      </c>
      <c r="J8" s="15">
        <v>0</v>
      </c>
      <c r="K8" s="15">
        <v>0</v>
      </c>
    </row>
    <row r="9" spans="3:25" x14ac:dyDescent="0.45">
      <c r="C9" t="s">
        <v>1</v>
      </c>
      <c r="D9" s="12">
        <v>0.2</v>
      </c>
      <c r="E9" s="12">
        <v>0.15</v>
      </c>
      <c r="F9" s="12">
        <v>0.25</v>
      </c>
    </row>
    <row r="10" spans="3:25" x14ac:dyDescent="0.45">
      <c r="C10" t="s">
        <v>2</v>
      </c>
      <c r="D10" s="11">
        <v>-0.4</v>
      </c>
      <c r="E10" s="11">
        <v>-0.05</v>
      </c>
      <c r="F10" s="11">
        <v>-0.5</v>
      </c>
    </row>
    <row r="11" spans="3:25" x14ac:dyDescent="0.45">
      <c r="C11" t="s">
        <v>6</v>
      </c>
      <c r="D11" s="2">
        <v>1</v>
      </c>
      <c r="E11">
        <f>D12</f>
        <v>0.3</v>
      </c>
      <c r="F11">
        <f>D13</f>
        <v>0.1</v>
      </c>
      <c r="T11" t="s">
        <v>23</v>
      </c>
      <c r="U11" t="b">
        <v>1</v>
      </c>
    </row>
    <row r="12" spans="3:25" x14ac:dyDescent="0.45">
      <c r="D12" s="11">
        <v>0.3</v>
      </c>
      <c r="E12" s="2">
        <v>1</v>
      </c>
      <c r="F12">
        <f>E13</f>
        <v>-0.1</v>
      </c>
      <c r="T12" t="s">
        <v>22</v>
      </c>
      <c r="U12" t="b">
        <v>1</v>
      </c>
    </row>
    <row r="13" spans="3:25" x14ac:dyDescent="0.45">
      <c r="D13" s="11">
        <v>0.1</v>
      </c>
      <c r="E13" s="11">
        <v>-0.1</v>
      </c>
      <c r="F13" s="2">
        <v>1</v>
      </c>
      <c r="T13" t="s">
        <v>21</v>
      </c>
      <c r="U13" s="2">
        <v>1000000</v>
      </c>
    </row>
    <row r="15" spans="3:25" x14ac:dyDescent="0.45">
      <c r="C15" s="3"/>
      <c r="D15" s="6"/>
      <c r="E15" s="4"/>
      <c r="F15" s="4"/>
      <c r="G15" s="4"/>
      <c r="H15" s="5"/>
      <c r="I15" s="6"/>
      <c r="J15" s="6"/>
      <c r="K15" s="6"/>
    </row>
    <row r="16" spans="3:25" x14ac:dyDescent="0.45">
      <c r="C16" s="4" t="s">
        <v>11</v>
      </c>
      <c r="D16" s="4" t="str">
        <f>_xll.xPutDLM(D4:F4,D8:F8,D9:F9,D10:F10,D5,H4:J4,H7:H8,I7:K8,D11:F13,D6,"dlm")</f>
        <v>dlm</v>
      </c>
      <c r="E16" s="4"/>
      <c r="F16" s="4"/>
      <c r="G16" s="4"/>
      <c r="H16" s="5"/>
      <c r="I16" s="6"/>
      <c r="J16" s="6"/>
      <c r="K16" s="6"/>
      <c r="O16" s="9"/>
      <c r="P16" s="9"/>
      <c r="Q16" s="9"/>
      <c r="R16" s="9">
        <f>S16*EXP(0.5*1%)</f>
        <v>50.250643860700968</v>
      </c>
      <c r="S16" s="9">
        <v>50.00001772886462</v>
      </c>
      <c r="T16" t="str">
        <f t="array" ref="T16:U51">_xll.xValue(D16,T3,U12,,,U13,U11)</f>
        <v>google 0.50 0.50</v>
      </c>
      <c r="U16" s="9">
        <v>50.250643505236702</v>
      </c>
      <c r="V16" s="19">
        <v>50.00001772886462</v>
      </c>
      <c r="Y16" s="9"/>
    </row>
    <row r="17" spans="2:27" x14ac:dyDescent="0.45">
      <c r="C17" s="4"/>
      <c r="D17" s="4"/>
      <c r="E17" s="4"/>
      <c r="F17" s="4"/>
      <c r="G17" s="4"/>
      <c r="H17" s="5"/>
      <c r="I17" s="6"/>
      <c r="J17" s="6"/>
      <c r="K17" s="6"/>
      <c r="O17" s="9"/>
      <c r="P17" s="9"/>
      <c r="Q17" s="9"/>
      <c r="R17" s="9">
        <f>S17*EXP(0.5*1%)</f>
        <v>95.476143457621049</v>
      </c>
      <c r="S17" s="9">
        <v>94.999954205523721</v>
      </c>
      <c r="T17" t="str">
        <v>amazon 0.50 0.50</v>
      </c>
      <c r="U17" s="9">
        <v>95.476143613249945</v>
      </c>
      <c r="V17" s="19">
        <v>99.999953429352431</v>
      </c>
      <c r="Y17" s="9"/>
    </row>
    <row r="18" spans="2:27" x14ac:dyDescent="0.45">
      <c r="C18" s="3" t="str">
        <f t="array" ref="C18:H30">_xll.xViewDLM(D16)</f>
        <v/>
      </c>
      <c r="D18" s="3" t="str">
        <v>dynamics</v>
      </c>
      <c r="E18" s="3" t="str">
        <v>alpha</v>
      </c>
      <c r="F18" s="4" t="str">
        <v>beta</v>
      </c>
      <c r="G18" s="4" t="e">
        <v>#N/A</v>
      </c>
      <c r="H18" s="5" t="e">
        <v>#N/A</v>
      </c>
      <c r="I18" s="6"/>
      <c r="J18" s="6"/>
      <c r="K18" s="6"/>
      <c r="O18" s="9"/>
      <c r="P18" s="9"/>
      <c r="Q18" s="9"/>
      <c r="R18" s="9">
        <f>S18*EXP(0.5*1%)</f>
        <v>22.612858675930948</v>
      </c>
      <c r="S18" s="9">
        <v>22.50007657277181</v>
      </c>
      <c r="T18" t="str">
        <v>starbucks 0.50 0.50</v>
      </c>
      <c r="U18" s="9">
        <v>22.612857494939018</v>
      </c>
      <c r="V18" s="19">
        <v>25.000058902133254</v>
      </c>
      <c r="Y18" s="9"/>
    </row>
    <row r="19" spans="2:27" x14ac:dyDescent="0.45">
      <c r="C19" s="4" t="str">
        <v>google</v>
      </c>
      <c r="D19" s="4" t="str">
        <v>subnormal</v>
      </c>
      <c r="E19" s="5">
        <v>66.666666666666657</v>
      </c>
      <c r="F19" s="5">
        <v>0.60000000000000009</v>
      </c>
      <c r="G19" s="4" t="e">
        <v>#N/A</v>
      </c>
      <c r="H19" s="5" t="e">
        <v>#N/A</v>
      </c>
      <c r="I19" s="6"/>
      <c r="J19" s="6"/>
      <c r="K19" s="6"/>
      <c r="O19" s="9"/>
      <c r="P19" s="9"/>
      <c r="Q19" s="9"/>
      <c r="R19" s="9"/>
      <c r="S19" s="9">
        <v>2554.7757267453712</v>
      </c>
      <c r="T19" t="str">
        <v>google google 0.50 0.50</v>
      </c>
      <c r="U19" s="9">
        <v>2578.2661789716112</v>
      </c>
      <c r="V19" s="19">
        <v>2554.7757267453712</v>
      </c>
      <c r="W19" s="7">
        <f>U19-U16*U16</f>
        <v>53.139006281223828</v>
      </c>
      <c r="Y19" s="9"/>
    </row>
    <row r="20" spans="2:27" x14ac:dyDescent="0.45">
      <c r="C20" t="str">
        <v>amazon</v>
      </c>
      <c r="D20" t="str">
        <v>surnormal</v>
      </c>
      <c r="E20" s="7">
        <v>200.00000000000006</v>
      </c>
      <c r="F20" s="7">
        <v>4.9999999999999989E-2</v>
      </c>
      <c r="G20" t="e">
        <v>#N/A</v>
      </c>
      <c r="H20" s="7" t="e">
        <v>#N/A</v>
      </c>
      <c r="J20" s="6"/>
      <c r="K20" s="6"/>
      <c r="O20" s="9"/>
      <c r="P20" s="9"/>
      <c r="Q20" s="9"/>
      <c r="R20" s="9"/>
      <c r="S20" s="9">
        <v>4772.070931654479</v>
      </c>
      <c r="T20" t="str">
        <v>amazon google 0.50 0.50</v>
      </c>
      <c r="U20" s="9">
        <v>4819.5123831342207</v>
      </c>
      <c r="V20" s="19">
        <v>5022.445075340017</v>
      </c>
      <c r="W20" s="7">
        <f>U20-U16*U17</f>
        <v>21.774727170015467</v>
      </c>
      <c r="Y20" s="9"/>
      <c r="AA20" s="7"/>
    </row>
    <row r="21" spans="2:27" x14ac:dyDescent="0.45">
      <c r="C21" t="str">
        <v>starbucks</v>
      </c>
      <c r="D21" t="str">
        <v>subnormal</v>
      </c>
      <c r="E21" s="7">
        <v>33.333333333333336</v>
      </c>
      <c r="F21" s="7">
        <v>0.75</v>
      </c>
      <c r="G21" t="e">
        <v>#N/A</v>
      </c>
      <c r="H21" s="7" t="e">
        <v>#N/A</v>
      </c>
      <c r="J21" s="6"/>
      <c r="K21" s="6"/>
      <c r="O21" s="9"/>
      <c r="P21" s="9"/>
      <c r="Q21" s="9"/>
      <c r="R21" s="9"/>
      <c r="S21" s="9">
        <v>9133.8367515178907</v>
      </c>
      <c r="T21" t="str">
        <v>amazon amazon 0.50 0.50</v>
      </c>
      <c r="U21" s="9">
        <v>9224.8911323503598</v>
      </c>
      <c r="V21" s="19">
        <v>10112.557083136648</v>
      </c>
      <c r="W21" s="7">
        <f>U21-U17*U17</f>
        <v>109.19713309243161</v>
      </c>
      <c r="Y21" s="9"/>
    </row>
    <row r="22" spans="2:27" x14ac:dyDescent="0.45">
      <c r="C22" t="e">
        <v>#N/A</v>
      </c>
      <c r="D22" t="e">
        <v>#N/A</v>
      </c>
      <c r="E22" t="e">
        <v>#N/A</v>
      </c>
      <c r="F22" t="e">
        <v>#N/A</v>
      </c>
      <c r="G22" t="e">
        <v>#N/A</v>
      </c>
      <c r="H22" s="7" t="e">
        <v>#N/A</v>
      </c>
      <c r="J22" s="6"/>
      <c r="K22" s="6"/>
      <c r="O22" s="9"/>
      <c r="P22" s="9"/>
      <c r="Q22" s="9"/>
      <c r="R22" s="9"/>
      <c r="S22" s="9">
        <v>1129.1088278966085</v>
      </c>
      <c r="T22" t="str">
        <v>starbucks google 0.50 0.50</v>
      </c>
      <c r="U22" s="9">
        <v>1140.3114289264086</v>
      </c>
      <c r="V22" s="19">
        <v>1253.1607732194359</v>
      </c>
      <c r="W22" s="7">
        <f>U22-U18*U16</f>
        <v>4.0007883135081101</v>
      </c>
      <c r="Y22" s="9"/>
      <c r="AA22" s="7"/>
    </row>
    <row r="23" spans="2:27" x14ac:dyDescent="0.45">
      <c r="C23" t="e">
        <v>#N/A</v>
      </c>
      <c r="D23" t="e">
        <v>#N/A</v>
      </c>
      <c r="E23" t="e">
        <v>#N/A</v>
      </c>
      <c r="F23" t="e">
        <v>#N/A</v>
      </c>
      <c r="G23" t="e">
        <v>#N/A</v>
      </c>
      <c r="H23" s="7" t="e">
        <v>#N/A</v>
      </c>
      <c r="J23" s="6"/>
      <c r="K23" s="6"/>
      <c r="O23" s="9"/>
      <c r="P23" s="9"/>
      <c r="Q23" s="9"/>
      <c r="R23" s="9"/>
      <c r="S23" s="9">
        <v>2131.5062021504082</v>
      </c>
      <c r="T23" t="str">
        <v>starbucks amazon 0.50 0.50</v>
      </c>
      <c r="U23" s="9">
        <v>2153.0412675187622</v>
      </c>
      <c r="V23" s="19">
        <v>2495.3110817065335</v>
      </c>
      <c r="W23" s="7">
        <f>U23-U18*U17</f>
        <v>-5.9471621739908187</v>
      </c>
      <c r="Y23" s="9"/>
      <c r="AA23" s="7"/>
    </row>
    <row r="24" spans="2:27" x14ac:dyDescent="0.45">
      <c r="C24" t="e">
        <v>#N/A</v>
      </c>
      <c r="D24" t="e">
        <v>#N/A</v>
      </c>
      <c r="E24" t="e">
        <v>#N/A</v>
      </c>
      <c r="F24" t="e">
        <v>#N/A</v>
      </c>
      <c r="G24" t="e">
        <v>#N/A</v>
      </c>
      <c r="H24" s="7" t="e">
        <v>#N/A</v>
      </c>
      <c r="J24" s="6"/>
      <c r="K24" s="6"/>
      <c r="O24" s="9"/>
      <c r="P24" s="9"/>
      <c r="Q24" s="9"/>
      <c r="R24" s="9"/>
      <c r="S24" s="9">
        <v>544.36045945920728</v>
      </c>
      <c r="T24" t="str">
        <v>starbucks starbucks 0.50 0.50</v>
      </c>
      <c r="U24" s="9">
        <v>548.65903254552416</v>
      </c>
      <c r="V24" s="19">
        <v>647.55147391399305</v>
      </c>
      <c r="W24" s="7">
        <f>U24-U18*U18</f>
        <v>37.317708459104438</v>
      </c>
      <c r="Y24" s="9"/>
    </row>
    <row r="25" spans="2:27" x14ac:dyDescent="0.45">
      <c r="C25" t="e">
        <v>#N/A</v>
      </c>
      <c r="D25" t="e">
        <v>#N/A</v>
      </c>
      <c r="E25" t="e">
        <v>#N/A</v>
      </c>
      <c r="F25" t="e">
        <v>#N/A</v>
      </c>
      <c r="G25" t="e">
        <v>#N/A</v>
      </c>
      <c r="H25" s="7" t="e">
        <v>#N/A</v>
      </c>
      <c r="J25" s="6"/>
      <c r="K25" s="6"/>
      <c r="P25" s="9">
        <f>R25-R16</f>
        <v>-3.7880731445694025</v>
      </c>
      <c r="Q25" s="9"/>
      <c r="R25" s="9">
        <f>S25*EXP(1*1%)</f>
        <v>46.462570716131566</v>
      </c>
      <c r="S25" s="7">
        <v>46.000260413065028</v>
      </c>
      <c r="T25" t="str">
        <v>google 1.00 1.00</v>
      </c>
      <c r="U25" s="7">
        <v>46.462565020808249</v>
      </c>
      <c r="V25" s="20">
        <v>50.000272818845943</v>
      </c>
      <c r="X25" s="16" t="str">
        <f t="array" ref="X25:Z33">_xll.xValue(D16,T4,U12,,,U13,U11)</f>
        <v>google 1.00 1.00</v>
      </c>
      <c r="Y25" s="17">
        <v>46.462428396446704</v>
      </c>
      <c r="Z25" s="16" t="e">
        <v>#N/A</v>
      </c>
    </row>
    <row r="26" spans="2:27" x14ac:dyDescent="0.45">
      <c r="C26" t="e">
        <v>#N/A</v>
      </c>
      <c r="D26" t="e">
        <v>#N/A</v>
      </c>
      <c r="E26" t="e">
        <v>#N/A</v>
      </c>
      <c r="F26" t="e">
        <v>#N/A</v>
      </c>
      <c r="G26" t="e">
        <v>#N/A</v>
      </c>
      <c r="H26" s="7" t="e">
        <v>#N/A</v>
      </c>
      <c r="J26" s="6"/>
      <c r="K26" s="6"/>
      <c r="P26" s="9">
        <f>R26-R17</f>
        <v>0.47845757741798423</v>
      </c>
      <c r="R26" s="9">
        <f>S26*EXP(1*1%)</f>
        <v>95.954601035039033</v>
      </c>
      <c r="S26" s="7">
        <v>94.999836802208151</v>
      </c>
      <c r="T26" t="str">
        <v>amazon 1.00 1.00</v>
      </c>
      <c r="U26" s="7">
        <v>95.954601969190392</v>
      </c>
      <c r="V26" s="20">
        <v>99.999834036142801</v>
      </c>
      <c r="X26" s="16" t="str">
        <v>amazon 1.00 1.00</v>
      </c>
      <c r="Y26" s="17">
        <v>95.954697132134939</v>
      </c>
      <c r="Z26" s="16" t="e">
        <v>#N/A</v>
      </c>
    </row>
    <row r="27" spans="2:27" x14ac:dyDescent="0.45">
      <c r="C27" t="e">
        <v>#N/A</v>
      </c>
      <c r="D27" t="e">
        <v>#N/A</v>
      </c>
      <c r="E27" t="e">
        <v>#N/A</v>
      </c>
      <c r="F27" t="e">
        <v>#N/A</v>
      </c>
      <c r="G27" t="e">
        <v>#N/A</v>
      </c>
      <c r="H27" s="7" t="e">
        <v>#N/A</v>
      </c>
      <c r="J27" s="6"/>
      <c r="K27" s="6"/>
      <c r="P27" s="9">
        <f>R27-R18</f>
        <v>0.11377973356324134</v>
      </c>
      <c r="R27" s="9">
        <f>S27*EXP(1*1%)</f>
        <v>22.726638409494189</v>
      </c>
      <c r="S27" s="7">
        <v>22.50050457899718</v>
      </c>
      <c r="T27" t="str">
        <v>starbucks 1.00 1.00</v>
      </c>
      <c r="U27" s="7">
        <v>22.726628604362176</v>
      </c>
      <c r="V27" s="20">
        <v>25.000388137689914</v>
      </c>
      <c r="X27" s="16" t="str">
        <v>starbucks 1.00 1.00</v>
      </c>
      <c r="Y27" s="17">
        <v>22.726340449128806</v>
      </c>
      <c r="Z27" s="16" t="e">
        <v>#N/A</v>
      </c>
    </row>
    <row r="28" spans="2:27" x14ac:dyDescent="0.45">
      <c r="C28" t="e">
        <v>#N/A</v>
      </c>
      <c r="D28" t="e">
        <v>#N/A</v>
      </c>
      <c r="E28" t="e">
        <v>#N/A</v>
      </c>
      <c r="F28" t="e">
        <v>#N/A</v>
      </c>
      <c r="G28" t="e">
        <v>#N/A</v>
      </c>
      <c r="H28" s="7" t="e">
        <v>#N/A</v>
      </c>
      <c r="J28" s="6"/>
      <c r="K28" s="6"/>
      <c r="S28" s="7">
        <v>2255.6622195290893</v>
      </c>
      <c r="T28" t="str">
        <v>google google 1.00 1.00</v>
      </c>
      <c r="U28" s="7">
        <v>2293.5689471641094</v>
      </c>
      <c r="V28" s="20">
        <v>2620.2864548711691</v>
      </c>
      <c r="X28" s="16" t="str">
        <v>google google 1.00 1.00</v>
      </c>
      <c r="Y28" s="17">
        <v>2335.5669128384684</v>
      </c>
      <c r="Z28" s="16" t="e">
        <v>#N/A</v>
      </c>
    </row>
    <row r="29" spans="2:27" x14ac:dyDescent="0.45">
      <c r="C29" t="e">
        <v>#N/A</v>
      </c>
      <c r="D29" t="e">
        <v>#N/A</v>
      </c>
      <c r="E29" t="e">
        <v>#N/A</v>
      </c>
      <c r="F29" t="e">
        <v>#N/A</v>
      </c>
      <c r="G29" t="e">
        <v>#N/A</v>
      </c>
      <c r="H29" s="7" t="e">
        <v>#N/A</v>
      </c>
      <c r="J29" s="6"/>
      <c r="K29" s="6"/>
      <c r="S29" s="7">
        <v>4417.5822830172983</v>
      </c>
      <c r="T29" t="str">
        <v>amazon google 1.00 1.00</v>
      </c>
      <c r="U29" s="7">
        <v>4505.2650985858827</v>
      </c>
      <c r="V29" s="20">
        <v>5044.79057984681</v>
      </c>
      <c r="X29" s="16" t="str">
        <v>amazon google 1.00 1.00</v>
      </c>
      <c r="Y29" s="17">
        <v>4511.849169876813</v>
      </c>
      <c r="Z29" s="16" t="e">
        <v>#N/A</v>
      </c>
    </row>
    <row r="30" spans="2:27" x14ac:dyDescent="0.45">
      <c r="C30" t="e">
        <v>#N/A</v>
      </c>
      <c r="D30" t="e">
        <v>#N/A</v>
      </c>
      <c r="E30" t="e">
        <v>#N/A</v>
      </c>
      <c r="F30" t="e">
        <v>#N/A</v>
      </c>
      <c r="G30" t="e">
        <v>#N/A</v>
      </c>
      <c r="H30" s="7" t="e">
        <v>#N/A</v>
      </c>
      <c r="J30" s="6"/>
      <c r="K30" s="6"/>
      <c r="S30" s="7">
        <v>9242.7918454915416</v>
      </c>
      <c r="T30" t="str">
        <v>amazon amazon 1.00 1.00</v>
      </c>
      <c r="U30" s="7">
        <v>9427.2650936971622</v>
      </c>
      <c r="V30" s="20">
        <v>10225.23606062171</v>
      </c>
      <c r="X30" s="16" t="str">
        <v>amazon amazon 1.00 1.00</v>
      </c>
      <c r="Y30" s="17">
        <v>9426.5431887968844</v>
      </c>
      <c r="Z30" s="16" t="e">
        <v>#N/A</v>
      </c>
    </row>
    <row r="31" spans="2:27" x14ac:dyDescent="0.45">
      <c r="J31" s="6"/>
      <c r="K31" s="6"/>
      <c r="S31" s="7">
        <v>1043.9483257120355</v>
      </c>
      <c r="T31" t="str">
        <v>starbucks google 1.00 1.00</v>
      </c>
      <c r="U31" s="7">
        <v>1064.5798956631425</v>
      </c>
      <c r="V31" s="20">
        <v>1256.3880030913922</v>
      </c>
      <c r="X31" s="16" t="str">
        <v>starbucks google 1.00 1.00</v>
      </c>
      <c r="Y31" s="17">
        <v>1065.7647819045646</v>
      </c>
      <c r="Z31" s="16" t="e">
        <v>#N/A</v>
      </c>
    </row>
    <row r="32" spans="2:27" x14ac:dyDescent="0.45">
      <c r="B32" t="s">
        <v>19</v>
      </c>
      <c r="D32" t="s">
        <v>17</v>
      </c>
      <c r="E32" t="s">
        <v>16</v>
      </c>
      <c r="F32" t="s">
        <v>24</v>
      </c>
      <c r="G32" t="s">
        <v>18</v>
      </c>
      <c r="H32" t="s">
        <v>20</v>
      </c>
      <c r="J32" s="6" t="s">
        <v>32</v>
      </c>
      <c r="K32" s="5">
        <f>X3</f>
        <v>0.5</v>
      </c>
      <c r="S32" s="7">
        <v>2125.518828254515</v>
      </c>
      <c r="T32" t="str">
        <v>starbucks amazon 1.00 1.00</v>
      </c>
      <c r="U32" s="7">
        <v>2168.798536799241</v>
      </c>
      <c r="V32" s="20">
        <v>2490.6275448812899</v>
      </c>
      <c r="X32" s="16" t="str">
        <v>starbucks amazon 1.00 1.00</v>
      </c>
      <c r="Y32" s="17">
        <v>2168.898777865767</v>
      </c>
      <c r="Z32" s="16" t="e">
        <v>#N/A</v>
      </c>
    </row>
    <row r="33" spans="2:26" x14ac:dyDescent="0.45">
      <c r="B33">
        <f t="array" ref="B33:B35">TRANSPOSE(D8:F8)</f>
        <v>50</v>
      </c>
      <c r="C33" t="str">
        <f>C19</f>
        <v>google</v>
      </c>
      <c r="D33" s="7">
        <f>IF(F19=0,0.000001,F19)</f>
        <v>0.60000000000000009</v>
      </c>
      <c r="E33" s="7">
        <f>IF(F19=0,E19/D33,E19)</f>
        <v>66.666666666666657</v>
      </c>
      <c r="F33" s="7">
        <f>IF(D19="subnormal",E33-B33,E33+B33)</f>
        <v>16.666666666666657</v>
      </c>
      <c r="G33" s="7">
        <f>F33^2*(EXP(D33^2)-1)</f>
        <v>120.36928182231664</v>
      </c>
      <c r="H33" s="7">
        <f>SQRT(G33)</f>
        <v>10.971293534598217</v>
      </c>
      <c r="J33" s="6"/>
      <c r="K33" s="6"/>
      <c r="S33" s="7">
        <v>594.72838389593767</v>
      </c>
      <c r="T33" t="str">
        <v>starbucks starbucks 1.00 1.00</v>
      </c>
      <c r="U33" s="7">
        <v>602.83449581503703</v>
      </c>
      <c r="V33" s="20">
        <v>677.36004466031011</v>
      </c>
      <c r="X33" s="16" t="str">
        <v>starbucks starbucks 1.00 1.00</v>
      </c>
      <c r="Y33" s="17">
        <v>601.36234481090446</v>
      </c>
      <c r="Z33" s="16" t="e">
        <v>#N/A</v>
      </c>
    </row>
    <row r="34" spans="2:26" x14ac:dyDescent="0.45">
      <c r="B34">
        <v>100</v>
      </c>
      <c r="C34" t="str">
        <f>C20</f>
        <v>amazon</v>
      </c>
      <c r="D34" s="7">
        <f>IF(F20=0,0.0000000001,F20)</f>
        <v>4.9999999999999989E-2</v>
      </c>
      <c r="E34" s="7">
        <f>IF(F20=0,E20/D34,E20)</f>
        <v>200.00000000000006</v>
      </c>
      <c r="F34" s="7">
        <f>IF(D20="subnormal",E34-B34,E34+B34)</f>
        <v>300.00000000000006</v>
      </c>
      <c r="G34" s="7">
        <f t="shared" ref="G34:G35" si="0">F34^2*(EXP(D34^2)-1)</f>
        <v>225.2814845215668</v>
      </c>
      <c r="H34" s="7">
        <f>SQRT(G34)</f>
        <v>15.009379884644362</v>
      </c>
      <c r="J34" s="8" t="str">
        <f>C33&amp;"/"&amp;C34</f>
        <v>google/amazon</v>
      </c>
      <c r="K34" s="8" t="s">
        <v>25</v>
      </c>
      <c r="L34" s="1">
        <f>D12*(1-D6)+D6</f>
        <v>0.3</v>
      </c>
      <c r="M34" t="s">
        <v>28</v>
      </c>
      <c r="N34">
        <f>IF(D19="subnormal",-1,1)*IF(D20="subnormal",-1,1)</f>
        <v>-1</v>
      </c>
      <c r="O34" s="6" t="s">
        <v>13</v>
      </c>
      <c r="P34" s="10">
        <f>N34*F33*F34*(EXP(N34*L34*D33*D34*K32)-1)</f>
        <v>22.449450852147216</v>
      </c>
      <c r="Q34" s="10" t="s">
        <v>29</v>
      </c>
      <c r="R34" s="10">
        <f>W72</f>
        <v>21.774727170015467</v>
      </c>
      <c r="S34" s="18">
        <v>-3.9997573158002782</v>
      </c>
      <c r="T34" t="str">
        <v>google 0.50 0.50 - 1.00 1.00</v>
      </c>
      <c r="U34" s="18">
        <v>-3.7880784844280528</v>
      </c>
      <c r="V34" s="20">
        <v>2.5508998007966419E-4</v>
      </c>
    </row>
    <row r="35" spans="2:26" x14ac:dyDescent="0.45">
      <c r="B35">
        <v>25</v>
      </c>
      <c r="C35" t="str">
        <f>C21</f>
        <v>starbucks</v>
      </c>
      <c r="D35" s="7">
        <f>IF(F21=0,0.0000000001,F21)</f>
        <v>0.75</v>
      </c>
      <c r="E35" s="7">
        <f>IF(F21=0,E21/D35,E21)</f>
        <v>33.333333333333336</v>
      </c>
      <c r="F35" s="7">
        <f>IF(D21="subnormal",E35-B35,E35+B35)</f>
        <v>8.3333333333333357</v>
      </c>
      <c r="G35" s="7">
        <f t="shared" si="0"/>
        <v>52.43435117779854</v>
      </c>
      <c r="H35" s="7">
        <f>SQRT(G35)</f>
        <v>7.2411567568861912</v>
      </c>
      <c r="J35" s="6" t="str">
        <f>C34&amp;"/"&amp;C35</f>
        <v>amazon/starbucks</v>
      </c>
      <c r="K35" s="8" t="s">
        <v>25</v>
      </c>
      <c r="L35" s="8">
        <f>E13*(1-D6)+D6</f>
        <v>-0.1</v>
      </c>
      <c r="M35" t="s">
        <v>28</v>
      </c>
      <c r="N35">
        <f>IF(D20="subnormal",-1,1)*IF(D21="subnormal",-1,1)</f>
        <v>-1</v>
      </c>
      <c r="O35" s="6" t="s">
        <v>13</v>
      </c>
      <c r="P35" s="10">
        <f>N35*F34*F35*(EXP(N35*L35*D34*D35*K32)-1)</f>
        <v>-4.691897279119897</v>
      </c>
      <c r="Q35" s="10" t="s">
        <v>29</v>
      </c>
      <c r="R35" s="10">
        <f>Y72</f>
        <v>-5.9471621739908187</v>
      </c>
      <c r="S35" s="18">
        <v>-1.1740332356118037E-4</v>
      </c>
      <c r="T35" t="str">
        <v>amazon 0.50 0.50 - 1.00 1.00</v>
      </c>
      <c r="U35" s="18">
        <v>0.47845835594303904</v>
      </c>
      <c r="V35" s="20">
        <v>-1.1939321040121053E-4</v>
      </c>
    </row>
    <row r="36" spans="2:26" x14ac:dyDescent="0.45">
      <c r="J36" s="6" t="s">
        <v>26</v>
      </c>
      <c r="K36" s="6" t="s">
        <v>25</v>
      </c>
      <c r="L36" s="8">
        <f>D13*(1-D6)+D6</f>
        <v>0.1</v>
      </c>
      <c r="M36" t="s">
        <v>28</v>
      </c>
      <c r="N36">
        <f>IF(D19="subnormal",-1,1)*IF(D21="subnormal",-1,1)</f>
        <v>1</v>
      </c>
      <c r="O36" s="6" t="s">
        <v>13</v>
      </c>
      <c r="P36" s="10">
        <f>N36*F33*F35*(EXP(N36*L36*D33*D35*K32)-1)</f>
        <v>3.1604214117286129</v>
      </c>
      <c r="Q36" s="10" t="s">
        <v>29</v>
      </c>
      <c r="R36" s="10">
        <f>W73</f>
        <v>4.0007883135081101</v>
      </c>
      <c r="S36" s="18">
        <v>4.2800622399665036E-4</v>
      </c>
      <c r="T36" t="str">
        <v>starbucks 0.50 0.50 - 1.00 1.00</v>
      </c>
      <c r="U36" s="18">
        <v>0.11377110942236501</v>
      </c>
      <c r="V36" s="20">
        <v>3.2923555692051073E-4</v>
      </c>
    </row>
    <row r="37" spans="2:26" x14ac:dyDescent="0.45">
      <c r="J37" s="6"/>
      <c r="K37" s="6"/>
      <c r="S37" s="7">
        <v>109.65788712199227</v>
      </c>
      <c r="T37" t="str">
        <v>google google 0.50 0.50 - 1.00 1.00</v>
      </c>
      <c r="U37" s="7">
        <v>104.05245292089357</v>
      </c>
      <c r="V37" s="20">
        <v>65.517046672380232</v>
      </c>
      <c r="W37" s="7">
        <f t="array" ref="W37:W42">W19:W24</f>
        <v>53.139006281223828</v>
      </c>
      <c r="Y37" s="10">
        <f>U37-U34*U34</f>
        <v>89.702914316706838</v>
      </c>
    </row>
    <row r="38" spans="2:26" x14ac:dyDescent="0.45">
      <c r="J38" s="6"/>
      <c r="K38" s="6"/>
      <c r="S38" s="7">
        <v>27.271466956760115</v>
      </c>
      <c r="T38" t="str">
        <v>amazon google 0.50 0.50 - 1.00 1.00</v>
      </c>
      <c r="U38" s="7">
        <v>24.925026370739303</v>
      </c>
      <c r="V38" s="20">
        <v>22.337743324818906</v>
      </c>
      <c r="W38" s="7">
        <v>21.774727170015467</v>
      </c>
    </row>
    <row r="39" spans="2:26" x14ac:dyDescent="0.45">
      <c r="C39" s="4"/>
      <c r="D39" s="4"/>
      <c r="E39" s="4"/>
      <c r="F39" s="4"/>
      <c r="G39" s="4"/>
      <c r="H39" s="5"/>
      <c r="I39" s="6"/>
      <c r="J39" s="6"/>
      <c r="K39" s="6"/>
      <c r="S39" s="7">
        <v>108.98096942963534</v>
      </c>
      <c r="T39" t="str">
        <v>amazon amazon 0.50 0.50 - 1.00 1.00</v>
      </c>
      <c r="U39" s="7">
        <v>109.92012331853532</v>
      </c>
      <c r="V39" s="20">
        <v>112.70654695394161</v>
      </c>
      <c r="W39" s="7">
        <v>109.19713309243161</v>
      </c>
    </row>
    <row r="40" spans="2:26" x14ac:dyDescent="0.45">
      <c r="C40" s="4"/>
      <c r="D40" s="4"/>
      <c r="E40" s="4"/>
      <c r="F40" s="4"/>
      <c r="G40" s="4"/>
      <c r="H40" s="5"/>
      <c r="I40" s="6"/>
      <c r="J40" s="6"/>
      <c r="K40" s="6"/>
      <c r="S40" s="7">
        <v>5.1584568987396073</v>
      </c>
      <c r="T40" t="str">
        <v>starbucks google 0.50 0.50 - 1.00 1.00</v>
      </c>
      <c r="U40" s="7">
        <v>4.5089139598671659</v>
      </c>
      <c r="V40" s="20">
        <v>3.2172061836399646</v>
      </c>
      <c r="W40" s="7">
        <v>4.0007883135081101</v>
      </c>
    </row>
    <row r="41" spans="2:26" x14ac:dyDescent="0.45">
      <c r="C41" s="4"/>
      <c r="D41" s="4"/>
      <c r="E41" s="4"/>
      <c r="F41" s="4"/>
      <c r="G41" s="4"/>
      <c r="H41" s="5"/>
      <c r="I41" s="6"/>
      <c r="J41" s="6"/>
      <c r="K41" s="6"/>
      <c r="S41" s="7">
        <v>-6.0161859483439963</v>
      </c>
      <c r="T41" t="str">
        <v>starbucks amazon 0.50 0.50 - 1.00 1.00</v>
      </c>
      <c r="U41" s="7">
        <v>-5.8557281459403585</v>
      </c>
      <c r="V41" s="20">
        <v>-4.7062732320813385</v>
      </c>
      <c r="W41" s="7">
        <v>-5.9471621739908187</v>
      </c>
    </row>
    <row r="42" spans="2:26" x14ac:dyDescent="0.45">
      <c r="C42" s="4"/>
      <c r="D42" s="4"/>
      <c r="E42" s="4"/>
      <c r="F42" s="4"/>
      <c r="G42" s="4"/>
      <c r="H42" s="5"/>
      <c r="I42" s="6"/>
      <c r="J42" s="6"/>
      <c r="K42" s="6"/>
      <c r="S42" s="7">
        <v>50.388654699143515</v>
      </c>
      <c r="T42" t="str">
        <v>starbucks starbucks 0.50 0.50 - 1.00 1.00</v>
      </c>
      <c r="U42" s="7">
        <v>48.695231506868858</v>
      </c>
      <c r="V42" s="20">
        <v>29.815772011327422</v>
      </c>
      <c r="W42" s="7">
        <v>37.317708459104438</v>
      </c>
    </row>
    <row r="43" spans="2:26" x14ac:dyDescent="0.45">
      <c r="C43" s="4"/>
      <c r="D43" s="4"/>
      <c r="E43" s="4"/>
      <c r="F43" s="4"/>
      <c r="G43" s="4"/>
      <c r="H43" s="5"/>
      <c r="I43" s="6"/>
      <c r="J43" s="6"/>
      <c r="K43" s="6"/>
      <c r="T43" t="e">
        <v>#N/A</v>
      </c>
      <c r="U43" t="e">
        <v>#N/A</v>
      </c>
    </row>
    <row r="44" spans="2:26" x14ac:dyDescent="0.45">
      <c r="C44" s="4"/>
      <c r="D44" s="4"/>
      <c r="E44" s="4"/>
      <c r="F44" s="4"/>
      <c r="G44" s="4"/>
      <c r="H44" s="5"/>
      <c r="I44" s="6"/>
      <c r="J44" s="6"/>
      <c r="K44" s="6"/>
      <c r="T44" t="e">
        <v>#N/A</v>
      </c>
      <c r="U44" t="e">
        <v>#N/A</v>
      </c>
    </row>
    <row r="45" spans="2:26" x14ac:dyDescent="0.45">
      <c r="C45" s="4"/>
      <c r="D45" s="4"/>
      <c r="E45" s="4"/>
      <c r="F45" s="4"/>
      <c r="G45" s="4"/>
      <c r="H45" s="5"/>
      <c r="I45" s="6"/>
      <c r="J45" s="6"/>
      <c r="K45" s="6"/>
      <c r="T45" t="e">
        <v>#N/A</v>
      </c>
      <c r="U45" t="e">
        <v>#N/A</v>
      </c>
    </row>
    <row r="46" spans="2:26" x14ac:dyDescent="0.45">
      <c r="C46" s="4"/>
      <c r="D46" s="4"/>
      <c r="E46" s="4"/>
      <c r="F46" s="4"/>
      <c r="G46" s="4"/>
      <c r="H46" s="5"/>
      <c r="I46" s="6"/>
      <c r="J46" s="6"/>
      <c r="K46" s="6"/>
      <c r="T46" t="e">
        <v>#N/A</v>
      </c>
      <c r="U46" t="e">
        <v>#N/A</v>
      </c>
    </row>
    <row r="47" spans="2:26" x14ac:dyDescent="0.45">
      <c r="C47" s="4"/>
      <c r="D47" s="4"/>
      <c r="E47" s="4"/>
      <c r="F47" s="4"/>
      <c r="G47" s="4"/>
      <c r="H47" s="5"/>
      <c r="I47" s="6"/>
      <c r="J47" s="6"/>
      <c r="K47" s="6"/>
      <c r="T47" t="e">
        <v>#N/A</v>
      </c>
      <c r="U47" t="e">
        <v>#N/A</v>
      </c>
    </row>
    <row r="48" spans="2:26" x14ac:dyDescent="0.45">
      <c r="C48" s="4"/>
      <c r="D48" s="4"/>
      <c r="E48" s="4"/>
      <c r="F48" s="4"/>
      <c r="G48" s="4"/>
      <c r="H48" s="5"/>
      <c r="I48" s="6"/>
      <c r="J48" s="6"/>
      <c r="K48" s="6"/>
      <c r="T48" t="e">
        <v>#N/A</v>
      </c>
      <c r="U48" t="e">
        <v>#N/A</v>
      </c>
    </row>
    <row r="49" spans="3:25" x14ac:dyDescent="0.45">
      <c r="C49" s="4"/>
      <c r="D49" s="4"/>
      <c r="E49" s="4"/>
      <c r="F49" s="4"/>
      <c r="G49" s="4"/>
      <c r="H49" s="5"/>
      <c r="I49" s="6"/>
      <c r="J49" s="6"/>
      <c r="K49" s="6"/>
      <c r="T49" t="e">
        <v>#N/A</v>
      </c>
      <c r="U49" t="e">
        <v>#N/A</v>
      </c>
    </row>
    <row r="50" spans="3:25" x14ac:dyDescent="0.45">
      <c r="C50" s="4"/>
      <c r="D50" s="4"/>
      <c r="E50" s="4"/>
      <c r="F50" s="4"/>
      <c r="G50" s="4"/>
      <c r="H50" s="5"/>
      <c r="I50" s="6"/>
      <c r="J50" s="6"/>
      <c r="K50" s="6"/>
      <c r="T50" t="e">
        <v>#N/A</v>
      </c>
      <c r="U50" t="e">
        <v>#N/A</v>
      </c>
    </row>
    <row r="51" spans="3:25" x14ac:dyDescent="0.45">
      <c r="C51" s="4"/>
      <c r="D51" s="4"/>
      <c r="E51" s="4"/>
      <c r="F51" s="4"/>
      <c r="G51" s="4"/>
      <c r="H51" s="5"/>
      <c r="I51" s="6"/>
      <c r="J51" s="6"/>
      <c r="K51" s="6"/>
      <c r="T51" t="e">
        <v>#N/A</v>
      </c>
      <c r="U51" t="e">
        <v>#N/A</v>
      </c>
    </row>
    <row r="52" spans="3:25" x14ac:dyDescent="0.45">
      <c r="C52" s="4"/>
      <c r="D52" s="4"/>
      <c r="E52" s="4"/>
      <c r="F52" s="4"/>
      <c r="G52" s="4"/>
      <c r="H52" s="5"/>
      <c r="I52" s="6"/>
      <c r="J52" s="6"/>
      <c r="K52" s="6"/>
    </row>
    <row r="53" spans="3:25" x14ac:dyDescent="0.45">
      <c r="C53" s="4"/>
      <c r="D53" s="4"/>
      <c r="E53" s="4"/>
      <c r="F53" s="4"/>
      <c r="G53" s="4"/>
      <c r="H53" s="5"/>
      <c r="I53" s="6"/>
      <c r="J53" s="6"/>
      <c r="K53" s="6"/>
    </row>
    <row r="54" spans="3:25" x14ac:dyDescent="0.45">
      <c r="C54" s="4"/>
      <c r="D54" s="4"/>
      <c r="E54" s="4"/>
      <c r="F54" s="4"/>
      <c r="G54" s="4"/>
      <c r="H54" s="5"/>
      <c r="I54" s="6"/>
      <c r="J54" s="6"/>
      <c r="K54" s="6"/>
    </row>
    <row r="55" spans="3:25" x14ac:dyDescent="0.45">
      <c r="C55" s="4"/>
      <c r="D55" s="4"/>
      <c r="E55" s="4"/>
      <c r="F55" s="4"/>
      <c r="G55" s="4"/>
      <c r="H55" s="5"/>
      <c r="I55" s="6"/>
      <c r="J55" s="6"/>
      <c r="K55" s="6"/>
    </row>
    <row r="56" spans="3:25" x14ac:dyDescent="0.45">
      <c r="C56" s="4"/>
      <c r="D56" s="4"/>
      <c r="E56" s="4"/>
      <c r="F56" s="4"/>
      <c r="G56" s="4"/>
      <c r="H56" s="5"/>
      <c r="I56" s="6"/>
      <c r="J56" s="6"/>
      <c r="K56" s="6"/>
      <c r="W56" t="s">
        <v>12</v>
      </c>
    </row>
    <row r="57" spans="3:25" x14ac:dyDescent="0.45">
      <c r="C57" s="4"/>
      <c r="D57" s="4"/>
      <c r="E57" s="4"/>
      <c r="F57" s="4"/>
      <c r="G57" s="4"/>
      <c r="H57" s="5"/>
      <c r="I57" s="6"/>
      <c r="J57" s="6"/>
      <c r="K57" s="6"/>
      <c r="V57" t="str">
        <f t="array" ref="V57:V59">TRANSPOSE(D4:F4)</f>
        <v>google</v>
      </c>
      <c r="W57" s="9">
        <f>U16</f>
        <v>50.250643505236702</v>
      </c>
    </row>
    <row r="58" spans="3:25" x14ac:dyDescent="0.45">
      <c r="C58" s="4"/>
      <c r="D58" s="4"/>
      <c r="E58" s="4"/>
      <c r="F58" s="4"/>
      <c r="G58" s="4"/>
      <c r="H58" s="5"/>
      <c r="I58" s="6"/>
      <c r="J58" s="6"/>
      <c r="K58" s="6"/>
      <c r="V58" t="str">
        <v>amazon</v>
      </c>
      <c r="W58" s="9">
        <f>U17</f>
        <v>95.476143613249945</v>
      </c>
    </row>
    <row r="59" spans="3:25" x14ac:dyDescent="0.45">
      <c r="C59" s="4"/>
      <c r="D59" s="4"/>
      <c r="E59" s="4"/>
      <c r="F59" s="4"/>
      <c r="G59" s="4"/>
      <c r="H59" s="5"/>
      <c r="I59" s="6"/>
      <c r="J59" s="6"/>
      <c r="K59" s="6"/>
      <c r="V59" t="str">
        <v>starbucks</v>
      </c>
      <c r="W59" s="9">
        <f>U18</f>
        <v>22.612857494939018</v>
      </c>
    </row>
    <row r="60" spans="3:25" x14ac:dyDescent="0.45">
      <c r="C60" s="4"/>
      <c r="D60" s="4"/>
      <c r="E60" s="4"/>
      <c r="F60" s="4"/>
      <c r="G60" s="4"/>
      <c r="H60" s="5"/>
      <c r="I60" s="6"/>
      <c r="J60" s="6"/>
      <c r="K60" s="6"/>
    </row>
    <row r="61" spans="3:25" x14ac:dyDescent="0.45">
      <c r="C61" s="4"/>
      <c r="D61" s="4"/>
      <c r="E61" s="4"/>
      <c r="F61" s="4"/>
      <c r="G61" s="4"/>
      <c r="H61" s="5"/>
      <c r="I61" s="6"/>
      <c r="J61" s="6"/>
      <c r="K61" s="6"/>
      <c r="W61" t="s">
        <v>14</v>
      </c>
    </row>
    <row r="62" spans="3:25" x14ac:dyDescent="0.45">
      <c r="W62" s="7">
        <f t="array" ref="W62:Y62">TRANSPOSE(U64:U66)</f>
        <v>50.250643505236702</v>
      </c>
      <c r="X62" s="7">
        <v>95.476143613249945</v>
      </c>
      <c r="Y62" s="7">
        <v>22.612857494939018</v>
      </c>
    </row>
    <row r="63" spans="3:25" x14ac:dyDescent="0.45">
      <c r="W63" t="str">
        <f t="array" ref="W63:Y63">TRANSPOSE(V64:V66)</f>
        <v>google</v>
      </c>
      <c r="X63" t="str">
        <v>amazon</v>
      </c>
      <c r="Y63" t="str">
        <v>starbucks</v>
      </c>
    </row>
    <row r="64" spans="3:25" x14ac:dyDescent="0.45">
      <c r="U64" s="7">
        <f t="array" ref="U64:U66">W57:W59</f>
        <v>50.250643505236702</v>
      </c>
      <c r="V64" t="str">
        <f t="array" ref="V64:V66">V57:V59</f>
        <v>google</v>
      </c>
      <c r="W64" s="9">
        <f>U19</f>
        <v>2578.2661789716112</v>
      </c>
      <c r="X64" s="9">
        <f>W65</f>
        <v>4819.5123831342207</v>
      </c>
      <c r="Y64" s="9">
        <f>W66</f>
        <v>1140.3114289264086</v>
      </c>
    </row>
    <row r="65" spans="20:25" x14ac:dyDescent="0.45">
      <c r="U65" s="7">
        <v>95.476143613249945</v>
      </c>
      <c r="V65" t="str">
        <v>amazon</v>
      </c>
      <c r="W65" s="9">
        <f>U20</f>
        <v>4819.5123831342207</v>
      </c>
      <c r="X65" s="9">
        <f>U21</f>
        <v>9224.8911323503598</v>
      </c>
      <c r="Y65" s="9">
        <f>X66</f>
        <v>2153.0412675187622</v>
      </c>
    </row>
    <row r="66" spans="20:25" x14ac:dyDescent="0.45">
      <c r="U66" s="7">
        <v>22.612857494939018</v>
      </c>
      <c r="V66" t="str">
        <v>starbucks</v>
      </c>
      <c r="W66" s="9">
        <f>U22</f>
        <v>1140.3114289264086</v>
      </c>
      <c r="X66" s="9">
        <f>U23</f>
        <v>2153.0412675187622</v>
      </c>
      <c r="Y66" s="9">
        <f>U24</f>
        <v>548.65903254552416</v>
      </c>
    </row>
    <row r="68" spans="20:25" x14ac:dyDescent="0.45">
      <c r="W68" t="s">
        <v>13</v>
      </c>
    </row>
    <row r="69" spans="20:25" x14ac:dyDescent="0.45">
      <c r="W69" s="7">
        <f t="array" ref="W69:Y69">W62:Y62</f>
        <v>50.250643505236702</v>
      </c>
      <c r="X69" s="7">
        <v>95.476143613249945</v>
      </c>
      <c r="Y69" s="7">
        <v>22.612857494939018</v>
      </c>
    </row>
    <row r="70" spans="20:25" x14ac:dyDescent="0.45">
      <c r="W70" t="str">
        <f t="array" ref="W70:Y70">TRANSPOSE(V71:V73)</f>
        <v>google</v>
      </c>
      <c r="X70" t="str">
        <v>amazon</v>
      </c>
      <c r="Y70" t="str">
        <v>starbucks</v>
      </c>
    </row>
    <row r="71" spans="20:25" x14ac:dyDescent="0.45">
      <c r="U71" s="7">
        <f t="array" ref="U71:U73">U64:U66</f>
        <v>50.250643505236702</v>
      </c>
      <c r="V71" t="str">
        <f t="array" ref="V71:V73">V64:V66</f>
        <v>google</v>
      </c>
      <c r="W71" s="9">
        <f t="shared" ref="W71:Y73" si="1">W64-$U71*W$69</f>
        <v>53.139006281223828</v>
      </c>
      <c r="X71" s="9">
        <f t="shared" si="1"/>
        <v>21.774727170015467</v>
      </c>
      <c r="Y71" s="9">
        <f t="shared" si="1"/>
        <v>4.0007883135081101</v>
      </c>
    </row>
    <row r="72" spans="20:25" x14ac:dyDescent="0.45">
      <c r="U72" s="7">
        <v>95.476143613249945</v>
      </c>
      <c r="V72" t="str">
        <v>amazon</v>
      </c>
      <c r="W72" s="9">
        <f t="shared" si="1"/>
        <v>21.774727170015467</v>
      </c>
      <c r="X72" s="9">
        <f t="shared" si="1"/>
        <v>109.19713309243161</v>
      </c>
      <c r="Y72" s="9">
        <f t="shared" si="1"/>
        <v>-5.9471621739908187</v>
      </c>
    </row>
    <row r="73" spans="20:25" x14ac:dyDescent="0.45">
      <c r="U73" s="7">
        <v>22.612857494939018</v>
      </c>
      <c r="V73" t="str">
        <v>starbucks</v>
      </c>
      <c r="W73" s="9">
        <f t="shared" si="1"/>
        <v>4.0007883135081101</v>
      </c>
      <c r="X73" s="9">
        <f t="shared" si="1"/>
        <v>-5.9471621739908187</v>
      </c>
      <c r="Y73" s="9">
        <f t="shared" si="1"/>
        <v>37.317708459104438</v>
      </c>
    </row>
    <row r="75" spans="20:25" x14ac:dyDescent="0.45">
      <c r="W75" t="s">
        <v>15</v>
      </c>
    </row>
    <row r="76" spans="20:25" x14ac:dyDescent="0.45">
      <c r="W76" s="7">
        <f>SQRT(W71)</f>
        <v>7.2896506282004925</v>
      </c>
      <c r="X76" s="7">
        <f>SQRT(X72)</f>
        <v>10.449743207009043</v>
      </c>
      <c r="Y76" s="7">
        <f>SQRT(Y73)</f>
        <v>6.108822182639174</v>
      </c>
    </row>
    <row r="77" spans="20:25" x14ac:dyDescent="0.45">
      <c r="W77" t="str">
        <f t="array" ref="W77:Y77">TRANSPOSE(V78:V80)</f>
        <v>google</v>
      </c>
      <c r="X77" t="str">
        <v>amazon</v>
      </c>
      <c r="Y77" t="str">
        <v>starbucks</v>
      </c>
    </row>
    <row r="78" spans="20:25" x14ac:dyDescent="0.45">
      <c r="T78" s="10">
        <f>U78/W57</f>
        <v>0.1450658164694115</v>
      </c>
      <c r="U78" s="7">
        <f t="array" ref="U78:U80">TRANSPOSE(W76:Y76)</f>
        <v>7.2896506282004925</v>
      </c>
      <c r="V78" t="str">
        <f t="array" ref="V78:V80">V71:V73</f>
        <v>google</v>
      </c>
      <c r="W78" s="9">
        <f t="shared" ref="W78:Y80" si="2">W71/$U78/W$76</f>
        <v>0.99999999999999989</v>
      </c>
      <c r="X78" s="9">
        <f t="shared" si="2"/>
        <v>0.28585144347141994</v>
      </c>
      <c r="Y78" s="9">
        <f t="shared" si="2"/>
        <v>8.9842406195199329E-2</v>
      </c>
    </row>
    <row r="79" spans="20:25" x14ac:dyDescent="0.45">
      <c r="T79" s="10">
        <f>U79/W58</f>
        <v>0.10944873568981113</v>
      </c>
      <c r="U79" s="7">
        <v>10.449743207009043</v>
      </c>
      <c r="V79" t="str">
        <v>amazon</v>
      </c>
      <c r="W79" s="9">
        <f t="shared" si="2"/>
        <v>0.28585144347141994</v>
      </c>
      <c r="X79" s="9">
        <f t="shared" si="2"/>
        <v>0.99999999999999978</v>
      </c>
      <c r="Y79" s="9">
        <f t="shared" si="2"/>
        <v>-9.3163689561368015E-2</v>
      </c>
    </row>
    <row r="80" spans="20:25" x14ac:dyDescent="0.45">
      <c r="T80" s="10">
        <f>U80/W59</f>
        <v>0.27014817494898152</v>
      </c>
      <c r="U80" s="7">
        <v>6.108822182639174</v>
      </c>
      <c r="V80" t="str">
        <v>starbucks</v>
      </c>
      <c r="W80" s="9">
        <f t="shared" si="2"/>
        <v>8.9842406195199342E-2</v>
      </c>
      <c r="X80" s="9">
        <f t="shared" si="2"/>
        <v>-9.3163689561368002E-2</v>
      </c>
      <c r="Y80" s="9">
        <f t="shared" si="2"/>
        <v>0.99999999999999989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3:AA61"/>
  <sheetViews>
    <sheetView workbookViewId="0">
      <selection activeCell="J19" sqref="J19"/>
    </sheetView>
  </sheetViews>
  <sheetFormatPr defaultRowHeight="14.25" x14ac:dyDescent="0.45"/>
  <cols>
    <col min="3" max="3" width="10" bestFit="1" customWidth="1"/>
    <col min="4" max="4" width="9.33203125" bestFit="1" customWidth="1"/>
    <col min="5" max="5" width="18.1328125" bestFit="1" customWidth="1"/>
    <col min="6" max="6" width="13.53125" bestFit="1" customWidth="1"/>
    <col min="8" max="8" width="10.1328125" style="7" bestFit="1" customWidth="1"/>
    <col min="9" max="9" width="9.1328125" style="8"/>
    <col min="10" max="10" width="15.86328125" style="8" bestFit="1" customWidth="1"/>
    <col min="11" max="11" width="9.1328125" style="8"/>
  </cols>
  <sheetData>
    <row r="3" spans="3:15" x14ac:dyDescent="0.45">
      <c r="H3" s="7" t="s">
        <v>39</v>
      </c>
    </row>
    <row r="4" spans="3:15" x14ac:dyDescent="0.45">
      <c r="C4" t="s">
        <v>27</v>
      </c>
      <c r="D4" s="11" t="s">
        <v>8</v>
      </c>
      <c r="E4" s="11" t="s">
        <v>9</v>
      </c>
      <c r="F4" s="11" t="s">
        <v>10</v>
      </c>
      <c r="H4" s="13">
        <v>5.0000000000000001E-3</v>
      </c>
      <c r="I4" s="13">
        <v>5.0000000000000001E-3</v>
      </c>
      <c r="J4" s="13">
        <v>5.0000000000000001E-3</v>
      </c>
    </row>
    <row r="5" spans="3:15" x14ac:dyDescent="0.45">
      <c r="C5" t="s">
        <v>3</v>
      </c>
      <c r="D5" s="13">
        <v>0.02</v>
      </c>
      <c r="I5" s="8" t="s">
        <v>5</v>
      </c>
    </row>
    <row r="6" spans="3:15" x14ac:dyDescent="0.45">
      <c r="C6" t="s">
        <v>7</v>
      </c>
      <c r="D6" s="12">
        <v>0</v>
      </c>
      <c r="H6" s="7" t="s">
        <v>4</v>
      </c>
      <c r="I6" s="8" t="str">
        <f t="array" ref="I6:K6">D4:F4</f>
        <v>google</v>
      </c>
      <c r="J6" s="8" t="str">
        <v>amazon</v>
      </c>
      <c r="K6" s="8" t="str">
        <v>starbucks</v>
      </c>
    </row>
    <row r="7" spans="3:15" x14ac:dyDescent="0.45">
      <c r="H7" s="14">
        <v>0.25</v>
      </c>
      <c r="I7" s="15">
        <v>0</v>
      </c>
      <c r="J7" s="15">
        <v>0</v>
      </c>
      <c r="K7" s="15">
        <v>0</v>
      </c>
    </row>
    <row r="8" spans="3:15" x14ac:dyDescent="0.45">
      <c r="C8" t="s">
        <v>0</v>
      </c>
      <c r="D8" s="11">
        <v>50</v>
      </c>
      <c r="E8" s="11">
        <v>100</v>
      </c>
      <c r="F8" s="11">
        <v>25</v>
      </c>
      <c r="H8" s="14">
        <v>0.75</v>
      </c>
      <c r="I8" s="15">
        <v>0</v>
      </c>
      <c r="J8" s="15">
        <v>0</v>
      </c>
      <c r="K8" s="15">
        <v>0</v>
      </c>
    </row>
    <row r="9" spans="3:15" x14ac:dyDescent="0.45">
      <c r="C9" t="s">
        <v>1</v>
      </c>
      <c r="D9" s="12">
        <v>0.2</v>
      </c>
      <c r="E9" s="12">
        <v>0.15</v>
      </c>
      <c r="F9" s="12">
        <v>0.25</v>
      </c>
    </row>
    <row r="10" spans="3:15" x14ac:dyDescent="0.45">
      <c r="C10" t="s">
        <v>2</v>
      </c>
      <c r="D10" s="11">
        <v>-0.4</v>
      </c>
      <c r="E10" s="11">
        <v>0</v>
      </c>
      <c r="F10" s="11">
        <v>0.2</v>
      </c>
    </row>
    <row r="11" spans="3:15" x14ac:dyDescent="0.45">
      <c r="C11" t="s">
        <v>6</v>
      </c>
      <c r="D11" s="2">
        <v>1</v>
      </c>
      <c r="E11">
        <f>D12</f>
        <v>0.3</v>
      </c>
      <c r="F11">
        <f>D13</f>
        <v>0.1</v>
      </c>
    </row>
    <row r="12" spans="3:15" x14ac:dyDescent="0.45">
      <c r="D12" s="11">
        <v>0.3</v>
      </c>
      <c r="E12" s="2">
        <v>1</v>
      </c>
      <c r="F12">
        <f>E13</f>
        <v>-0.1</v>
      </c>
    </row>
    <row r="13" spans="3:15" x14ac:dyDescent="0.45">
      <c r="D13" s="11">
        <v>0.1</v>
      </c>
      <c r="E13" s="11">
        <v>-0.1</v>
      </c>
      <c r="F13" s="2">
        <v>1</v>
      </c>
    </row>
    <row r="15" spans="3:15" x14ac:dyDescent="0.45">
      <c r="C15" s="3"/>
      <c r="D15" s="6"/>
      <c r="E15" s="4"/>
      <c r="F15" s="4"/>
      <c r="G15" s="4"/>
      <c r="H15" s="5"/>
      <c r="I15" s="6"/>
      <c r="J15" s="6"/>
      <c r="K15" s="6"/>
    </row>
    <row r="16" spans="3:15" x14ac:dyDescent="0.45">
      <c r="C16" s="4" t="s">
        <v>11</v>
      </c>
      <c r="D16" s="4" t="str">
        <f>_xll.xPutDLM(D4:F4,D8:F8,D9:F9,D10:F10,D5,H4:J4,H7:H8,I7:K8,D11:F13,D6,"dlm")</f>
        <v>dlm</v>
      </c>
      <c r="E16" s="4"/>
      <c r="F16" s="4"/>
      <c r="G16" s="4"/>
      <c r="H16" s="5"/>
      <c r="I16" s="6"/>
      <c r="J16" s="6"/>
      <c r="K16" s="6"/>
      <c r="O16" s="9"/>
    </row>
    <row r="17" spans="3:15" x14ac:dyDescent="0.45">
      <c r="C17" s="4"/>
      <c r="D17" s="4"/>
      <c r="E17" s="4"/>
      <c r="F17" s="4"/>
      <c r="G17" s="4"/>
      <c r="H17" s="5"/>
      <c r="I17" s="6"/>
      <c r="J17" s="6"/>
      <c r="K17" s="6"/>
      <c r="O17" s="9"/>
    </row>
    <row r="18" spans="3:15" x14ac:dyDescent="0.45">
      <c r="C18" s="3"/>
      <c r="D18" s="3"/>
      <c r="E18" s="3"/>
      <c r="F18" s="4"/>
      <c r="G18" s="4"/>
      <c r="H18" s="5"/>
      <c r="I18" s="6"/>
      <c r="J18" s="6"/>
      <c r="K18" s="6"/>
      <c r="O18" s="9"/>
    </row>
    <row r="19" spans="3:15" x14ac:dyDescent="0.45">
      <c r="C19" s="4"/>
      <c r="D19" s="4"/>
      <c r="E19" s="5"/>
      <c r="F19" s="5"/>
      <c r="G19" s="4"/>
      <c r="H19" s="5"/>
      <c r="I19" s="6"/>
      <c r="J19" s="6"/>
      <c r="K19" s="6"/>
      <c r="O19" s="9"/>
    </row>
    <row r="20" spans="3:15" x14ac:dyDescent="0.45">
      <c r="E20" s="7"/>
      <c r="F20" s="7"/>
      <c r="J20" s="6"/>
      <c r="K20" s="6"/>
      <c r="O20" s="9"/>
    </row>
    <row r="21" spans="3:15" x14ac:dyDescent="0.45">
      <c r="C21" t="s">
        <v>33</v>
      </c>
      <c r="E21" s="7"/>
      <c r="F21" s="7"/>
      <c r="J21" s="6"/>
      <c r="K21" s="6"/>
      <c r="O21" s="9"/>
    </row>
    <row r="22" spans="3:15" x14ac:dyDescent="0.45">
      <c r="D22" t="s">
        <v>34</v>
      </c>
      <c r="J22" s="6"/>
      <c r="K22" s="6"/>
      <c r="O22" s="9"/>
    </row>
    <row r="23" spans="3:15" x14ac:dyDescent="0.45">
      <c r="C23" t="str">
        <f t="array" ref="C23:C25">TRANSPOSE(D4:F4)</f>
        <v>google</v>
      </c>
      <c r="D23">
        <v>0</v>
      </c>
      <c r="J23" s="6"/>
      <c r="K23" s="6"/>
      <c r="O23" s="9"/>
    </row>
    <row r="24" spans="3:15" x14ac:dyDescent="0.45">
      <c r="C24" t="str">
        <v>amazon</v>
      </c>
      <c r="D24">
        <v>1</v>
      </c>
      <c r="J24" s="6"/>
      <c r="K24" s="6"/>
      <c r="O24" s="9"/>
    </row>
    <row r="25" spans="3:15" x14ac:dyDescent="0.45">
      <c r="C25" t="str">
        <v>starbucks</v>
      </c>
      <c r="D25">
        <v>0</v>
      </c>
      <c r="J25" s="6"/>
      <c r="K25" s="6"/>
    </row>
    <row r="26" spans="3:15" x14ac:dyDescent="0.45">
      <c r="J26" s="6"/>
      <c r="K26" s="6"/>
    </row>
    <row r="27" spans="3:15" x14ac:dyDescent="0.45">
      <c r="C27" s="4" t="str">
        <f>_xll.xPutBaskets(C23:C25,D23:D25,D30,D32:F32,"bkt")</f>
        <v>bkt</v>
      </c>
      <c r="J27" s="6"/>
      <c r="K27" s="6"/>
    </row>
    <row r="28" spans="3:15" x14ac:dyDescent="0.45">
      <c r="J28" s="6"/>
      <c r="K28" s="6"/>
    </row>
    <row r="29" spans="3:15" x14ac:dyDescent="0.45">
      <c r="J29" s="6"/>
      <c r="K29" s="6"/>
    </row>
    <row r="30" spans="3:15" x14ac:dyDescent="0.45">
      <c r="C30" t="s">
        <v>35</v>
      </c>
      <c r="D30">
        <v>1</v>
      </c>
      <c r="J30" s="6"/>
      <c r="K30" s="6"/>
    </row>
    <row r="31" spans="3:15" x14ac:dyDescent="0.45">
      <c r="J31" s="6"/>
      <c r="K31" s="6"/>
      <c r="M31" t="s">
        <v>31</v>
      </c>
      <c r="N31" s="24">
        <f>E32*EXP(1.5%)</f>
        <v>101.51130646157189</v>
      </c>
    </row>
    <row r="32" spans="3:15" x14ac:dyDescent="0.45">
      <c r="C32" t="s">
        <v>36</v>
      </c>
      <c r="D32">
        <f>0.9*E32</f>
        <v>90</v>
      </c>
      <c r="E32" s="24">
        <f>E8</f>
        <v>100</v>
      </c>
      <c r="F32">
        <f>1.1*E32</f>
        <v>110.00000000000001</v>
      </c>
      <c r="H32"/>
      <c r="J32" s="6"/>
      <c r="K32" s="5"/>
      <c r="N32" t="s">
        <v>36</v>
      </c>
    </row>
    <row r="33" spans="3:27" x14ac:dyDescent="0.45">
      <c r="D33" s="7"/>
      <c r="E33" s="7"/>
      <c r="F33" s="7"/>
      <c r="G33" s="7"/>
      <c r="J33" s="6"/>
      <c r="K33" s="5"/>
      <c r="L33" s="8"/>
      <c r="M33" s="23" t="e">
        <f ca="1">_xll.sBlackImplied($D$30,N33,,Q33*EXP(2%),$N$31)</f>
        <v>#NAME?</v>
      </c>
      <c r="N33">
        <f t="array" ref="N33:N35">TRANSPOSE(D32:F32)</f>
        <v>90</v>
      </c>
      <c r="P33" s="21" t="str">
        <f t="array" ref="P33:W42">_xll.xValue(D16,C27,TRUE,,,500000,TRUE)</f>
        <v>basket strike 90.00</v>
      </c>
      <c r="Q33">
        <v>12.962626451582681</v>
      </c>
      <c r="R33" t="e">
        <v>#N/A</v>
      </c>
      <c r="S33" t="e">
        <v>#N/A</v>
      </c>
      <c r="T33" t="e">
        <v>#N/A</v>
      </c>
      <c r="U33" t="e">
        <v>#N/A</v>
      </c>
      <c r="V33" t="e">
        <v>#N/A</v>
      </c>
      <c r="W33" t="e">
        <v>#N/A</v>
      </c>
      <c r="Z33">
        <v>12.021580978275541</v>
      </c>
      <c r="AA33">
        <f>Z33*EXP(-2%)</f>
        <v>11.78353772595541</v>
      </c>
    </row>
    <row r="34" spans="3:27" x14ac:dyDescent="0.45">
      <c r="D34" s="7"/>
      <c r="E34" s="7"/>
      <c r="F34" s="7"/>
      <c r="G34" s="7"/>
      <c r="L34" s="8"/>
      <c r="M34" s="23" t="e">
        <f ca="1">_xll.sBlackImplied($D$30,N34,,Q34*EXP(2%),$N$31)</f>
        <v>#NAME?</v>
      </c>
      <c r="N34">
        <v>100</v>
      </c>
      <c r="P34" t="str">
        <v>basket strike 100.00</v>
      </c>
      <c r="Q34">
        <v>6.6744408747219808</v>
      </c>
      <c r="R34" t="e">
        <v>#N/A</v>
      </c>
      <c r="S34" t="e">
        <v>#N/A</v>
      </c>
      <c r="T34" t="e">
        <v>#N/A</v>
      </c>
      <c r="U34" t="e">
        <v>#N/A</v>
      </c>
      <c r="V34" t="e">
        <v>#N/A</v>
      </c>
      <c r="W34" t="e">
        <v>#N/A</v>
      </c>
      <c r="Z34">
        <v>5.9784072334057941</v>
      </c>
      <c r="AA34">
        <f>Z34*EXP(-2%)</f>
        <v>5.8600268386718684</v>
      </c>
    </row>
    <row r="35" spans="3:27" x14ac:dyDescent="0.45">
      <c r="D35" s="7"/>
      <c r="E35" s="7"/>
      <c r="F35" s="7"/>
      <c r="G35" s="7"/>
      <c r="J35" s="6"/>
      <c r="K35" s="5"/>
      <c r="L35" s="8"/>
      <c r="M35" s="23" t="e">
        <f ca="1">_xll.sBlackImplied($D$30,N35,,Q35*EXP(2%),$N$31)</f>
        <v>#NAME?</v>
      </c>
      <c r="N35">
        <v>110.00000000000001</v>
      </c>
      <c r="P35" t="str">
        <v>basket strike 110.00</v>
      </c>
      <c r="Q35">
        <v>2.9024499984701593</v>
      </c>
      <c r="R35" t="e">
        <v>#N/A</v>
      </c>
      <c r="S35" t="e">
        <v>#N/A</v>
      </c>
      <c r="T35" t="e">
        <v>#N/A</v>
      </c>
      <c r="U35" t="e">
        <v>#N/A</v>
      </c>
      <c r="V35" t="e">
        <v>#N/A</v>
      </c>
      <c r="W35" t="e">
        <v>#N/A</v>
      </c>
      <c r="Z35">
        <v>2.5001371685306366</v>
      </c>
      <c r="AA35">
        <f>Z35*EXP(-2%)</f>
        <v>2.4506311356786377</v>
      </c>
    </row>
    <row r="36" spans="3:27" x14ac:dyDescent="0.45">
      <c r="J36" s="6"/>
      <c r="K36" s="6"/>
      <c r="L36" s="8"/>
      <c r="O36" s="6"/>
      <c r="P36" t="e">
        <v>#N/A</v>
      </c>
      <c r="Q36" t="e">
        <v>#N/A</v>
      </c>
      <c r="R36" t="e">
        <v>#N/A</v>
      </c>
      <c r="S36" t="e">
        <v>#N/A</v>
      </c>
      <c r="T36" t="e">
        <v>#N/A</v>
      </c>
      <c r="U36" t="e">
        <v>#N/A</v>
      </c>
      <c r="V36" t="e">
        <v>#N/A</v>
      </c>
      <c r="W36" t="e">
        <v>#N/A</v>
      </c>
    </row>
    <row r="37" spans="3:27" x14ac:dyDescent="0.45">
      <c r="J37" s="6"/>
      <c r="K37" s="6"/>
      <c r="P37" t="e">
        <v>#N/A</v>
      </c>
      <c r="Q37" t="e">
        <v>#N/A</v>
      </c>
      <c r="R37" t="e">
        <v>#N/A</v>
      </c>
      <c r="S37" t="e">
        <v>#N/A</v>
      </c>
      <c r="T37" t="e">
        <v>#N/A</v>
      </c>
      <c r="U37" t="e">
        <v>#N/A</v>
      </c>
      <c r="V37" t="e">
        <v>#N/A</v>
      </c>
      <c r="W37" t="e">
        <v>#N/A</v>
      </c>
    </row>
    <row r="38" spans="3:27" x14ac:dyDescent="0.45">
      <c r="J38" s="6"/>
      <c r="K38" s="6"/>
      <c r="L38" t="s">
        <v>37</v>
      </c>
      <c r="M38" s="22" t="e">
        <f ca="1">M34</f>
        <v>#NAME?</v>
      </c>
      <c r="P38" t="e">
        <v>#N/A</v>
      </c>
      <c r="Q38" t="e">
        <v>#N/A</v>
      </c>
      <c r="R38" t="e">
        <v>#N/A</v>
      </c>
      <c r="S38" t="e">
        <v>#N/A</v>
      </c>
      <c r="T38" t="e">
        <v>#N/A</v>
      </c>
      <c r="U38" t="e">
        <v>#N/A</v>
      </c>
      <c r="V38" t="e">
        <v>#N/A</v>
      </c>
      <c r="W38" t="e">
        <v>#N/A</v>
      </c>
    </row>
    <row r="39" spans="3:27" x14ac:dyDescent="0.45">
      <c r="C39" s="4"/>
      <c r="D39" s="4"/>
      <c r="E39" s="4"/>
      <c r="F39" s="4"/>
      <c r="G39" s="4"/>
      <c r="H39" s="5"/>
      <c r="I39" s="6"/>
      <c r="J39" s="6"/>
      <c r="K39" s="6"/>
      <c r="L39" t="s">
        <v>38</v>
      </c>
      <c r="M39" s="7" t="e">
        <f ca="1">(M33-M35)/(N33-N35)*N34</f>
        <v>#NAME?</v>
      </c>
      <c r="P39" t="e">
        <v>#N/A</v>
      </c>
      <c r="Q39" t="e">
        <v>#N/A</v>
      </c>
      <c r="R39" t="e">
        <v>#N/A</v>
      </c>
      <c r="S39" t="e">
        <v>#N/A</v>
      </c>
      <c r="T39" t="e">
        <v>#N/A</v>
      </c>
      <c r="U39" t="e">
        <v>#N/A</v>
      </c>
      <c r="V39" t="e">
        <v>#N/A</v>
      </c>
      <c r="W39" t="e">
        <v>#N/A</v>
      </c>
    </row>
    <row r="40" spans="3:27" x14ac:dyDescent="0.45">
      <c r="C40" s="4"/>
      <c r="D40" s="4"/>
      <c r="E40" s="4"/>
      <c r="F40" s="4"/>
      <c r="G40" s="4"/>
      <c r="H40" s="5"/>
      <c r="I40" s="6"/>
      <c r="J40" s="6"/>
      <c r="K40" s="6"/>
      <c r="P40" t="e">
        <v>#N/A</v>
      </c>
      <c r="Q40" t="e">
        <v>#N/A</v>
      </c>
      <c r="R40" t="e">
        <v>#N/A</v>
      </c>
      <c r="S40" t="e">
        <v>#N/A</v>
      </c>
      <c r="T40" t="e">
        <v>#N/A</v>
      </c>
      <c r="U40" t="e">
        <v>#N/A</v>
      </c>
      <c r="V40" t="e">
        <v>#N/A</v>
      </c>
      <c r="W40" t="e">
        <v>#N/A</v>
      </c>
    </row>
    <row r="41" spans="3:27" x14ac:dyDescent="0.45">
      <c r="C41" s="4"/>
      <c r="D41" s="4"/>
      <c r="E41" s="4"/>
      <c r="F41" s="4"/>
      <c r="G41" s="4"/>
      <c r="H41" s="5"/>
      <c r="I41" s="6"/>
      <c r="J41" s="6"/>
      <c r="K41" s="6"/>
      <c r="P41" t="e">
        <v>#N/A</v>
      </c>
      <c r="Q41" t="e">
        <v>#N/A</v>
      </c>
      <c r="R41" t="e">
        <v>#N/A</v>
      </c>
      <c r="S41" t="e">
        <v>#N/A</v>
      </c>
      <c r="T41" t="e">
        <v>#N/A</v>
      </c>
      <c r="U41" t="e">
        <v>#N/A</v>
      </c>
      <c r="V41" t="e">
        <v>#N/A</v>
      </c>
      <c r="W41" t="e">
        <v>#N/A</v>
      </c>
    </row>
    <row r="42" spans="3:27" x14ac:dyDescent="0.45">
      <c r="C42" s="4"/>
      <c r="D42" s="4"/>
      <c r="E42" s="4"/>
      <c r="F42" s="4"/>
      <c r="G42" s="4"/>
      <c r="H42" s="5"/>
      <c r="I42" s="6"/>
      <c r="J42" s="6"/>
      <c r="K42" s="6"/>
      <c r="P42" t="e">
        <v>#N/A</v>
      </c>
      <c r="Q42" t="e">
        <v>#N/A</v>
      </c>
      <c r="R42" t="e">
        <v>#N/A</v>
      </c>
      <c r="S42" t="e">
        <v>#N/A</v>
      </c>
      <c r="T42" t="e">
        <v>#N/A</v>
      </c>
      <c r="U42" t="e">
        <v>#N/A</v>
      </c>
      <c r="V42" t="e">
        <v>#N/A</v>
      </c>
      <c r="W42" t="e">
        <v>#N/A</v>
      </c>
    </row>
    <row r="43" spans="3:27" x14ac:dyDescent="0.45">
      <c r="C43" s="4"/>
      <c r="D43" s="4"/>
      <c r="E43" s="4"/>
      <c r="F43" s="4"/>
      <c r="G43" s="4"/>
      <c r="H43" s="5"/>
      <c r="I43" s="6"/>
      <c r="J43" s="6"/>
      <c r="K43" s="6"/>
    </row>
    <row r="44" spans="3:27" x14ac:dyDescent="0.45">
      <c r="C44" s="4"/>
      <c r="D44" s="4"/>
      <c r="E44" s="4"/>
      <c r="F44" s="4"/>
      <c r="G44" s="4"/>
      <c r="H44" s="5"/>
      <c r="I44" s="6"/>
      <c r="J44" s="6"/>
      <c r="K44" s="6"/>
    </row>
    <row r="45" spans="3:27" x14ac:dyDescent="0.45">
      <c r="C45" s="4"/>
      <c r="D45" s="4"/>
      <c r="E45" s="4"/>
      <c r="F45" s="4"/>
      <c r="G45" s="4"/>
      <c r="H45" s="5"/>
      <c r="I45" s="6"/>
      <c r="J45" s="6"/>
      <c r="K45" s="6"/>
    </row>
    <row r="46" spans="3:27" x14ac:dyDescent="0.45">
      <c r="C46" s="4"/>
      <c r="D46" s="4"/>
      <c r="E46" s="4"/>
      <c r="F46" s="4"/>
      <c r="G46" s="4"/>
      <c r="H46" s="5"/>
      <c r="I46" s="6"/>
      <c r="J46" s="6"/>
      <c r="K46" s="6"/>
    </row>
    <row r="47" spans="3:27" x14ac:dyDescent="0.45">
      <c r="C47" s="4"/>
      <c r="D47" s="4"/>
      <c r="E47" s="4"/>
      <c r="F47" s="4"/>
      <c r="G47" s="4"/>
      <c r="H47" s="5"/>
      <c r="I47" s="6"/>
      <c r="J47" s="6"/>
      <c r="K47" s="6"/>
    </row>
    <row r="48" spans="3:27" x14ac:dyDescent="0.45">
      <c r="C48" s="4"/>
      <c r="D48" s="4"/>
      <c r="E48" s="4"/>
      <c r="F48" s="4"/>
      <c r="G48" s="4"/>
      <c r="H48" s="5"/>
      <c r="I48" s="6"/>
      <c r="J48" s="6"/>
      <c r="K48" s="6"/>
    </row>
    <row r="49" spans="3:11" x14ac:dyDescent="0.45">
      <c r="C49" s="4"/>
      <c r="D49" s="4"/>
      <c r="E49" s="4"/>
      <c r="F49" s="4"/>
      <c r="G49" s="4"/>
      <c r="H49" s="5"/>
      <c r="I49" s="6"/>
      <c r="J49" s="6"/>
      <c r="K49" s="6"/>
    </row>
    <row r="50" spans="3:11" x14ac:dyDescent="0.45">
      <c r="C50" s="4"/>
      <c r="D50" s="4"/>
      <c r="E50" s="4"/>
      <c r="F50" s="4"/>
      <c r="G50" s="4"/>
      <c r="H50" s="5"/>
      <c r="I50" s="6"/>
      <c r="J50" s="6"/>
      <c r="K50" s="6"/>
    </row>
    <row r="51" spans="3:11" x14ac:dyDescent="0.45">
      <c r="C51" s="4"/>
      <c r="D51" s="4"/>
      <c r="E51" s="4"/>
      <c r="F51" s="4"/>
      <c r="G51" s="4"/>
      <c r="H51" s="5"/>
      <c r="I51" s="6"/>
      <c r="J51" s="6"/>
      <c r="K51" s="6"/>
    </row>
    <row r="52" spans="3:11" x14ac:dyDescent="0.45">
      <c r="C52" s="4"/>
      <c r="D52" s="4"/>
      <c r="E52" s="4"/>
      <c r="F52" s="4"/>
      <c r="G52" s="4"/>
      <c r="H52" s="5"/>
      <c r="I52" s="6"/>
      <c r="J52" s="6"/>
      <c r="K52" s="6"/>
    </row>
    <row r="53" spans="3:11" x14ac:dyDescent="0.45">
      <c r="C53" s="4"/>
      <c r="D53" s="4"/>
      <c r="E53" s="4"/>
      <c r="F53" s="4"/>
      <c r="G53" s="4"/>
      <c r="H53" s="5"/>
      <c r="I53" s="6"/>
      <c r="J53" s="6"/>
      <c r="K53" s="6"/>
    </row>
    <row r="54" spans="3:11" x14ac:dyDescent="0.45">
      <c r="C54" s="4"/>
      <c r="D54" s="4"/>
      <c r="E54" s="4"/>
      <c r="F54" s="4"/>
      <c r="G54" s="4"/>
      <c r="H54" s="5"/>
      <c r="I54" s="6"/>
      <c r="J54" s="6"/>
      <c r="K54" s="6"/>
    </row>
    <row r="55" spans="3:11" x14ac:dyDescent="0.45">
      <c r="C55" s="4"/>
      <c r="D55" s="4"/>
      <c r="E55" s="4"/>
      <c r="F55" s="4"/>
      <c r="G55" s="4"/>
      <c r="H55" s="5"/>
      <c r="I55" s="6"/>
      <c r="J55" s="6"/>
      <c r="K55" s="6"/>
    </row>
    <row r="56" spans="3:11" x14ac:dyDescent="0.45">
      <c r="C56" s="4"/>
      <c r="D56" s="4"/>
      <c r="E56" s="4"/>
      <c r="F56" s="4"/>
      <c r="G56" s="4"/>
      <c r="H56" s="5"/>
      <c r="I56" s="6"/>
      <c r="J56" s="6"/>
      <c r="K56" s="6"/>
    </row>
    <row r="57" spans="3:11" x14ac:dyDescent="0.45">
      <c r="C57" s="4"/>
      <c r="D57" s="4"/>
      <c r="E57" s="4"/>
      <c r="F57" s="4"/>
      <c r="G57" s="4"/>
      <c r="H57" s="5"/>
      <c r="I57" s="6"/>
      <c r="J57" s="6"/>
      <c r="K57" s="6"/>
    </row>
    <row r="58" spans="3:11" x14ac:dyDescent="0.45">
      <c r="C58" s="4"/>
      <c r="D58" s="4"/>
      <c r="E58" s="4"/>
      <c r="F58" s="4"/>
      <c r="G58" s="4"/>
      <c r="H58" s="5"/>
      <c r="I58" s="6"/>
      <c r="J58" s="6"/>
      <c r="K58" s="6"/>
    </row>
    <row r="59" spans="3:11" x14ac:dyDescent="0.45">
      <c r="C59" s="4"/>
      <c r="D59" s="4"/>
      <c r="E59" s="4"/>
      <c r="F59" s="4"/>
      <c r="G59" s="4"/>
      <c r="H59" s="5"/>
      <c r="I59" s="6"/>
      <c r="J59" s="6"/>
      <c r="K59" s="6"/>
    </row>
    <row r="60" spans="3:11" x14ac:dyDescent="0.45">
      <c r="C60" s="4"/>
      <c r="D60" s="4"/>
      <c r="E60" s="4"/>
      <c r="F60" s="4"/>
      <c r="G60" s="4"/>
      <c r="H60" s="5"/>
      <c r="I60" s="6"/>
      <c r="J60" s="6"/>
      <c r="K60" s="6"/>
    </row>
    <row r="61" spans="3:11" x14ac:dyDescent="0.45">
      <c r="C61" s="4"/>
      <c r="D61" s="4"/>
      <c r="E61" s="4"/>
      <c r="F61" s="4"/>
      <c r="G61" s="4"/>
      <c r="H61" s="5"/>
      <c r="I61" s="6"/>
      <c r="J61" s="6"/>
      <c r="K61" s="6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3:Y104"/>
  <sheetViews>
    <sheetView tabSelected="1" workbookViewId="0">
      <selection activeCell="G17" sqref="G17"/>
    </sheetView>
  </sheetViews>
  <sheetFormatPr defaultRowHeight="14.25" x14ac:dyDescent="0.45"/>
  <cols>
    <col min="3" max="3" width="10" bestFit="1" customWidth="1"/>
    <col min="4" max="4" width="9.33203125" bestFit="1" customWidth="1"/>
    <col min="5" max="5" width="18.1328125" bestFit="1" customWidth="1"/>
    <col min="6" max="6" width="13.53125" bestFit="1" customWidth="1"/>
    <col min="8" max="8" width="10.1328125" style="7" bestFit="1" customWidth="1"/>
    <col min="9" max="9" width="9.1328125" style="8"/>
    <col min="10" max="10" width="15.86328125" style="8" bestFit="1" customWidth="1"/>
    <col min="11" max="11" width="9.1328125" style="8"/>
    <col min="13" max="13" width="37.53125" bestFit="1" customWidth="1"/>
    <col min="14" max="14" width="14.6640625" customWidth="1"/>
  </cols>
  <sheetData>
    <row r="3" spans="3:15" x14ac:dyDescent="0.45">
      <c r="H3" s="7" t="s">
        <v>39</v>
      </c>
    </row>
    <row r="4" spans="3:15" x14ac:dyDescent="0.45">
      <c r="C4" t="s">
        <v>27</v>
      </c>
      <c r="D4" s="11" t="s">
        <v>46</v>
      </c>
      <c r="E4" s="11" t="s">
        <v>47</v>
      </c>
      <c r="F4" s="11" t="s">
        <v>48</v>
      </c>
      <c r="H4" s="13">
        <v>0</v>
      </c>
      <c r="I4" s="13">
        <v>0</v>
      </c>
      <c r="J4" s="13">
        <v>0</v>
      </c>
    </row>
    <row r="5" spans="3:15" x14ac:dyDescent="0.45">
      <c r="C5" t="s">
        <v>3</v>
      </c>
      <c r="D5" s="13">
        <v>0.01</v>
      </c>
      <c r="I5" s="8" t="s">
        <v>5</v>
      </c>
    </row>
    <row r="6" spans="3:15" x14ac:dyDescent="0.45">
      <c r="C6" t="s">
        <v>7</v>
      </c>
      <c r="D6" s="12">
        <v>0.25</v>
      </c>
      <c r="H6" s="7" t="s">
        <v>4</v>
      </c>
      <c r="I6" s="8" t="str">
        <f t="array" ref="I6:K6">D4:F4</f>
        <v>uber</v>
      </c>
      <c r="J6" s="8" t="str">
        <v>lyft</v>
      </c>
      <c r="K6" s="8" t="str">
        <v>luckin</v>
      </c>
    </row>
    <row r="7" spans="3:15" x14ac:dyDescent="0.45">
      <c r="H7" s="14">
        <v>0.25</v>
      </c>
      <c r="I7" s="15">
        <v>0</v>
      </c>
      <c r="J7" s="15">
        <v>0</v>
      </c>
      <c r="K7" s="15">
        <v>0</v>
      </c>
      <c r="N7" s="23"/>
    </row>
    <row r="8" spans="3:15" x14ac:dyDescent="0.45">
      <c r="C8" t="s">
        <v>0</v>
      </c>
      <c r="D8" s="11">
        <v>43.71</v>
      </c>
      <c r="E8" s="11">
        <v>63.8</v>
      </c>
      <c r="F8" s="11">
        <v>26.96</v>
      </c>
      <c r="H8" s="14">
        <v>0.75</v>
      </c>
      <c r="I8" s="15">
        <v>0</v>
      </c>
      <c r="J8" s="15">
        <v>0</v>
      </c>
      <c r="K8" s="15">
        <v>0</v>
      </c>
    </row>
    <row r="9" spans="3:15" x14ac:dyDescent="0.45">
      <c r="C9" t="s">
        <v>1</v>
      </c>
      <c r="D9" s="12">
        <v>0.45</v>
      </c>
      <c r="E9" s="12">
        <v>0.5</v>
      </c>
      <c r="F9" s="12">
        <v>0.7</v>
      </c>
    </row>
    <row r="10" spans="3:15" x14ac:dyDescent="0.45">
      <c r="C10" t="s">
        <v>2</v>
      </c>
      <c r="D10" s="11">
        <v>-0.1</v>
      </c>
      <c r="E10" s="11">
        <v>-0.5</v>
      </c>
      <c r="F10" s="11">
        <v>-0.2</v>
      </c>
    </row>
    <row r="11" spans="3:15" x14ac:dyDescent="0.45">
      <c r="C11" t="s">
        <v>6</v>
      </c>
      <c r="D11" s="2">
        <v>1</v>
      </c>
      <c r="E11">
        <f>D12</f>
        <v>0.5</v>
      </c>
      <c r="F11">
        <f>D13</f>
        <v>0.2</v>
      </c>
    </row>
    <row r="12" spans="3:15" x14ac:dyDescent="0.45">
      <c r="D12" s="11">
        <v>0.5</v>
      </c>
      <c r="E12" s="2">
        <v>1</v>
      </c>
      <c r="F12">
        <f>E13</f>
        <v>0.2</v>
      </c>
    </row>
    <row r="13" spans="3:15" x14ac:dyDescent="0.45">
      <c r="D13" s="11">
        <v>0.2</v>
      </c>
      <c r="E13" s="11">
        <v>0.2</v>
      </c>
      <c r="F13" s="2">
        <v>1</v>
      </c>
    </row>
    <row r="15" spans="3:15" x14ac:dyDescent="0.45">
      <c r="C15" s="3"/>
      <c r="D15" s="6"/>
      <c r="E15" s="4"/>
      <c r="F15" s="4"/>
      <c r="G15" s="4"/>
      <c r="H15" s="5"/>
      <c r="I15" s="6"/>
      <c r="J15" s="6"/>
      <c r="K15" s="6"/>
    </row>
    <row r="16" spans="3:15" x14ac:dyDescent="0.45">
      <c r="C16" s="4" t="s">
        <v>11</v>
      </c>
      <c r="D16" s="4" t="str">
        <f>_xll.xPutDLM(D4:F4,D8:F8,D9:F9,D10:F10,D5,H4:J4,H7:H8,I7:K8,D11:F13,D6,"dlm")</f>
        <v>dlm</v>
      </c>
      <c r="E16" s="4"/>
      <c r="G16" s="4"/>
      <c r="H16" s="4"/>
      <c r="I16" s="6"/>
      <c r="J16" s="6"/>
      <c r="K16" s="6"/>
      <c r="O16" s="9"/>
    </row>
    <row r="17" spans="3:25" x14ac:dyDescent="0.45">
      <c r="C17" s="4"/>
      <c r="D17" s="4"/>
      <c r="E17" s="4"/>
      <c r="F17" s="4"/>
      <c r="G17" s="4"/>
      <c r="H17" s="5"/>
      <c r="I17" s="6"/>
      <c r="J17" s="6"/>
      <c r="K17" s="6"/>
      <c r="O17" s="9"/>
    </row>
    <row r="18" spans="3:25" x14ac:dyDescent="0.45">
      <c r="C18" s="3"/>
      <c r="D18" s="3"/>
      <c r="E18" s="3"/>
      <c r="F18" s="4"/>
      <c r="G18" s="4"/>
      <c r="H18" s="5"/>
      <c r="I18" s="6"/>
      <c r="J18" s="6"/>
      <c r="K18" s="6"/>
      <c r="O18" s="9"/>
    </row>
    <row r="19" spans="3:25" x14ac:dyDescent="0.45">
      <c r="C19" s="4" t="s">
        <v>45</v>
      </c>
      <c r="D19" s="11">
        <v>43.71</v>
      </c>
      <c r="E19" s="11">
        <v>63.8</v>
      </c>
      <c r="F19" s="11">
        <v>26.96</v>
      </c>
      <c r="G19" s="4"/>
      <c r="H19" s="5"/>
      <c r="I19" s="6"/>
      <c r="J19" s="6"/>
      <c r="K19" s="6"/>
      <c r="M19" t="s">
        <v>21</v>
      </c>
      <c r="N19">
        <v>100000</v>
      </c>
      <c r="O19" s="9"/>
    </row>
    <row r="20" spans="3:25" x14ac:dyDescent="0.45">
      <c r="C20" t="s">
        <v>35</v>
      </c>
      <c r="D20">
        <v>0.5</v>
      </c>
      <c r="E20" s="7"/>
      <c r="F20" s="7"/>
      <c r="J20" s="6"/>
      <c r="K20" s="6"/>
      <c r="M20" t="s">
        <v>23</v>
      </c>
      <c r="N20" t="b">
        <v>1</v>
      </c>
      <c r="O20" s="9"/>
    </row>
    <row r="21" spans="3:25" x14ac:dyDescent="0.45">
      <c r="C21" t="s">
        <v>40</v>
      </c>
      <c r="D21">
        <v>6</v>
      </c>
      <c r="E21" s="7"/>
      <c r="F21" s="7"/>
      <c r="J21" s="6"/>
      <c r="K21" s="6"/>
      <c r="O21" s="9"/>
    </row>
    <row r="22" spans="3:25" x14ac:dyDescent="0.45">
      <c r="C22" t="s">
        <v>41</v>
      </c>
      <c r="D22" s="22">
        <v>1</v>
      </c>
      <c r="H22"/>
      <c r="I22"/>
      <c r="J22"/>
      <c r="K22"/>
    </row>
    <row r="23" spans="3:25" x14ac:dyDescent="0.45">
      <c r="C23" t="s">
        <v>42</v>
      </c>
      <c r="D23" s="22">
        <v>0.76</v>
      </c>
      <c r="H23"/>
      <c r="I23"/>
      <c r="J23"/>
      <c r="K23"/>
    </row>
    <row r="24" spans="3:25" x14ac:dyDescent="0.45">
      <c r="C24" t="s">
        <v>44</v>
      </c>
      <c r="D24" s="22">
        <v>0.36</v>
      </c>
      <c r="H24"/>
      <c r="I24"/>
      <c r="J24"/>
      <c r="K24"/>
    </row>
    <row r="25" spans="3:25" x14ac:dyDescent="0.45">
      <c r="C25" t="s">
        <v>43</v>
      </c>
      <c r="D25" s="8">
        <v>0.01</v>
      </c>
      <c r="H25"/>
      <c r="I25"/>
      <c r="J25"/>
      <c r="K25"/>
      <c r="N25" s="1">
        <f>N27-N26</f>
        <v>0</v>
      </c>
    </row>
    <row r="26" spans="3:25" x14ac:dyDescent="0.45">
      <c r="H26"/>
      <c r="I26"/>
      <c r="J26"/>
      <c r="K26"/>
      <c r="N26" s="8">
        <v>0.96495976051676235</v>
      </c>
    </row>
    <row r="27" spans="3:25" x14ac:dyDescent="0.45">
      <c r="C27" s="4"/>
      <c r="D27" t="str">
        <f>_xll.xPutAutocall(D4:F4,D19:F19,D20,D21,D22,D23,D24,D25,"autocall")</f>
        <v>autocall</v>
      </c>
      <c r="H27"/>
      <c r="I27"/>
      <c r="J27"/>
      <c r="K27"/>
      <c r="M27" s="4" t="str">
        <f t="array" ref="M27:Y46">_xll.xValue(D16,D27,TRUE,,,N19,N20)</f>
        <v>autocall strike 76 KO 100 CPN 36 6 periods of 1m</v>
      </c>
      <c r="N27" s="6">
        <v>0.96495976051676258</v>
      </c>
      <c r="O27" s="4" t="e">
        <v>#N/A</v>
      </c>
      <c r="P27" s="4" t="e">
        <v>#N/A</v>
      </c>
      <c r="Q27" s="4" t="e">
        <v>#N/A</v>
      </c>
      <c r="R27" s="4" t="e">
        <v>#N/A</v>
      </c>
      <c r="S27" s="4" t="e">
        <v>#N/A</v>
      </c>
      <c r="T27" s="4" t="e">
        <v>#N/A</v>
      </c>
      <c r="U27" s="4" t="e">
        <v>#N/A</v>
      </c>
      <c r="V27" s="4" t="e">
        <v>#N/A</v>
      </c>
      <c r="W27" s="4" t="e">
        <v>#N/A</v>
      </c>
      <c r="X27" s="4" t="e">
        <v>#N/A</v>
      </c>
      <c r="Y27" s="4" t="e">
        <v>#N/A</v>
      </c>
    </row>
    <row r="28" spans="3:25" x14ac:dyDescent="0.45">
      <c r="D28" t="str">
        <f>_xll.xPayoffIds(D27)</f>
        <v>autocall strike 76 KO 100 CPN 36 6 periods of 1m</v>
      </c>
      <c r="H28"/>
      <c r="I28"/>
      <c r="J28"/>
      <c r="K28"/>
      <c r="M28" s="4" t="str">
        <v>autocall strike 76 KO 100 CPN 36 6 periods of 1m</v>
      </c>
      <c r="N28" s="4">
        <v>0.96495976051676258</v>
      </c>
      <c r="O28" s="4" t="e">
        <v>#N/A</v>
      </c>
      <c r="P28" s="4" t="e">
        <v>#N/A</v>
      </c>
      <c r="Q28" s="4" t="e">
        <v>#N/A</v>
      </c>
      <c r="R28" s="4" t="e">
        <v>#N/A</v>
      </c>
      <c r="S28" s="4" t="e">
        <v>#N/A</v>
      </c>
      <c r="T28" s="4" t="e">
        <v>#N/A</v>
      </c>
      <c r="U28" s="4" t="e">
        <v>#N/A</v>
      </c>
      <c r="V28" s="4" t="e">
        <v>#N/A</v>
      </c>
      <c r="W28" s="4" t="e">
        <v>#N/A</v>
      </c>
      <c r="X28" s="4" t="e">
        <v>#N/A</v>
      </c>
      <c r="Y28" s="4" t="e">
        <v>#N/A</v>
      </c>
    </row>
    <row r="29" spans="3:25" x14ac:dyDescent="0.45">
      <c r="H29"/>
      <c r="I29"/>
      <c r="J29"/>
      <c r="K29"/>
      <c r="M29" s="4" t="str">
        <v>autocall strike 76 KO 100 CPN 36 6 periods of 1m</v>
      </c>
      <c r="N29" s="4">
        <v>0.96495976051676258</v>
      </c>
      <c r="O29" s="4" t="e">
        <v>#N/A</v>
      </c>
      <c r="P29" s="4" t="e">
        <v>#N/A</v>
      </c>
      <c r="Q29" s="4" t="e">
        <v>#N/A</v>
      </c>
      <c r="R29" s="4" t="e">
        <v>#N/A</v>
      </c>
      <c r="S29" s="4" t="e">
        <v>#N/A</v>
      </c>
      <c r="T29" s="4" t="e">
        <v>#N/A</v>
      </c>
      <c r="U29" s="4" t="e">
        <v>#N/A</v>
      </c>
      <c r="V29" s="4" t="e">
        <v>#N/A</v>
      </c>
      <c r="W29" s="4" t="e">
        <v>#N/A</v>
      </c>
      <c r="X29" s="4" t="e">
        <v>#N/A</v>
      </c>
      <c r="Y29" s="4" t="e">
        <v>#N/A</v>
      </c>
    </row>
    <row r="30" spans="3:25" x14ac:dyDescent="0.45">
      <c r="H30"/>
      <c r="I30"/>
      <c r="J30"/>
      <c r="K30"/>
      <c r="M30" s="4" t="str">
        <v>autocall strike 76 KO 100 CPN 36 6 periods of 1m</v>
      </c>
      <c r="N30" s="4">
        <v>0.96495976051676258</v>
      </c>
      <c r="O30" s="4" t="e">
        <v>#N/A</v>
      </c>
      <c r="P30" s="4" t="e">
        <v>#N/A</v>
      </c>
      <c r="Q30" s="4" t="e">
        <v>#N/A</v>
      </c>
      <c r="R30" s="4" t="e">
        <v>#N/A</v>
      </c>
      <c r="S30" s="4" t="e">
        <v>#N/A</v>
      </c>
      <c r="T30" s="4" t="e">
        <v>#N/A</v>
      </c>
      <c r="U30" s="4" t="e">
        <v>#N/A</v>
      </c>
      <c r="V30" s="4" t="e">
        <v>#N/A</v>
      </c>
      <c r="W30" s="4" t="e">
        <v>#N/A</v>
      </c>
      <c r="X30" s="4" t="e">
        <v>#N/A</v>
      </c>
      <c r="Y30" s="4" t="e">
        <v>#N/A</v>
      </c>
    </row>
    <row r="31" spans="3:25" x14ac:dyDescent="0.45">
      <c r="H31"/>
      <c r="I31"/>
      <c r="J31"/>
      <c r="K31"/>
      <c r="M31" s="4" t="str">
        <v>autocall strike 76 KO 100 CPN 36 6 periods of 1m</v>
      </c>
      <c r="N31" s="4">
        <v>0.96495976051676258</v>
      </c>
      <c r="O31" s="4" t="e">
        <v>#N/A</v>
      </c>
      <c r="P31" s="4" t="e">
        <v>#N/A</v>
      </c>
      <c r="Q31" s="4" t="e">
        <v>#N/A</v>
      </c>
      <c r="R31" s="4" t="e">
        <v>#N/A</v>
      </c>
      <c r="S31" s="4" t="e">
        <v>#N/A</v>
      </c>
      <c r="T31" s="4" t="e">
        <v>#N/A</v>
      </c>
      <c r="U31" s="4" t="e">
        <v>#N/A</v>
      </c>
      <c r="V31" s="4" t="e">
        <v>#N/A</v>
      </c>
      <c r="W31" s="4" t="e">
        <v>#N/A</v>
      </c>
      <c r="X31" s="4" t="e">
        <v>#N/A</v>
      </c>
      <c r="Y31" s="4" t="e">
        <v>#N/A</v>
      </c>
    </row>
    <row r="32" spans="3:25" x14ac:dyDescent="0.45">
      <c r="H32"/>
      <c r="I32"/>
      <c r="J32"/>
      <c r="K32"/>
      <c r="M32" s="4" t="str">
        <v>autocall strike 76 KO 100 CPN 36 6 periods of 1m</v>
      </c>
      <c r="N32" s="4">
        <v>0.96495976051676258</v>
      </c>
      <c r="O32" s="4" t="e">
        <v>#N/A</v>
      </c>
      <c r="P32" s="4" t="e">
        <v>#N/A</v>
      </c>
      <c r="Q32" s="4" t="e">
        <v>#N/A</v>
      </c>
      <c r="R32" s="4" t="e">
        <v>#N/A</v>
      </c>
      <c r="S32" s="4" t="e">
        <v>#N/A</v>
      </c>
      <c r="T32" s="4" t="e">
        <v>#N/A</v>
      </c>
      <c r="U32" s="4" t="e">
        <v>#N/A</v>
      </c>
      <c r="V32" s="4" t="e">
        <v>#N/A</v>
      </c>
      <c r="W32" s="4" t="e">
        <v>#N/A</v>
      </c>
      <c r="X32" s="4" t="e">
        <v>#N/A</v>
      </c>
      <c r="Y32" s="4" t="e">
        <v>#N/A</v>
      </c>
    </row>
    <row r="33" spans="3:25" x14ac:dyDescent="0.45">
      <c r="H33"/>
      <c r="I33"/>
      <c r="J33"/>
      <c r="K33"/>
      <c r="M33" s="4" t="str">
        <v>autocall strike 76 KO 100 CPN 36 6 periods of 1m</v>
      </c>
      <c r="N33" s="4">
        <v>0.96495976051676258</v>
      </c>
      <c r="O33" s="4" t="e">
        <v>#N/A</v>
      </c>
      <c r="P33" s="4" t="e">
        <v>#N/A</v>
      </c>
      <c r="Q33" s="4" t="e">
        <v>#N/A</v>
      </c>
      <c r="R33" s="4" t="e">
        <v>#N/A</v>
      </c>
      <c r="S33" s="4" t="e">
        <v>#N/A</v>
      </c>
      <c r="T33" s="4" t="e">
        <v>#N/A</v>
      </c>
      <c r="U33" s="4" t="e">
        <v>#N/A</v>
      </c>
      <c r="V33" s="4" t="e">
        <v>#N/A</v>
      </c>
      <c r="W33" s="4" t="e">
        <v>#N/A</v>
      </c>
      <c r="X33" s="4" t="e">
        <v>#N/A</v>
      </c>
      <c r="Y33" s="4" t="e">
        <v>#N/A</v>
      </c>
    </row>
    <row r="34" spans="3:25" x14ac:dyDescent="0.45">
      <c r="H34"/>
      <c r="I34"/>
      <c r="J34"/>
      <c r="K34"/>
      <c r="M34" s="4" t="str">
        <v>autocall strike 76 KO 100 CPN 36 6 periods of 1m</v>
      </c>
      <c r="N34" s="4">
        <v>0.96495976051676258</v>
      </c>
      <c r="O34" s="4" t="e">
        <v>#N/A</v>
      </c>
      <c r="P34" s="4" t="e">
        <v>#N/A</v>
      </c>
      <c r="Q34" s="4" t="e">
        <v>#N/A</v>
      </c>
      <c r="R34" s="4" t="e">
        <v>#N/A</v>
      </c>
      <c r="S34" s="4" t="e">
        <v>#N/A</v>
      </c>
      <c r="T34" s="4" t="e">
        <v>#N/A</v>
      </c>
      <c r="U34" s="4" t="e">
        <v>#N/A</v>
      </c>
      <c r="V34" s="4" t="e">
        <v>#N/A</v>
      </c>
      <c r="W34" s="4" t="e">
        <v>#N/A</v>
      </c>
      <c r="X34" s="4" t="e">
        <v>#N/A</v>
      </c>
      <c r="Y34" s="4" t="e">
        <v>#N/A</v>
      </c>
    </row>
    <row r="35" spans="3:25" x14ac:dyDescent="0.45">
      <c r="H35"/>
      <c r="I35"/>
      <c r="J35"/>
      <c r="K35"/>
      <c r="M35" s="4" t="str">
        <v>autocall strike 76 KO 100 CPN 36 6 periods of 1m</v>
      </c>
      <c r="N35" s="4">
        <v>0.96495976051676258</v>
      </c>
      <c r="O35" s="4" t="e">
        <v>#N/A</v>
      </c>
      <c r="P35" s="4" t="e">
        <v>#N/A</v>
      </c>
      <c r="Q35" s="4" t="e">
        <v>#N/A</v>
      </c>
      <c r="R35" s="4" t="e">
        <v>#N/A</v>
      </c>
      <c r="S35" s="4" t="e">
        <v>#N/A</v>
      </c>
      <c r="T35" s="4" t="e">
        <v>#N/A</v>
      </c>
      <c r="U35" s="4" t="e">
        <v>#N/A</v>
      </c>
      <c r="V35" s="4" t="e">
        <v>#N/A</v>
      </c>
      <c r="W35" s="4" t="e">
        <v>#N/A</v>
      </c>
      <c r="X35" s="4" t="e">
        <v>#N/A</v>
      </c>
      <c r="Y35" s="4" t="e">
        <v>#N/A</v>
      </c>
    </row>
    <row r="36" spans="3:25" x14ac:dyDescent="0.45">
      <c r="H36"/>
      <c r="I36"/>
      <c r="J36"/>
      <c r="K36"/>
      <c r="M36" s="4" t="str">
        <v>autocall strike 76 KO 100 CPN 36 6 periods of 1m</v>
      </c>
      <c r="N36" s="4">
        <v>0.96495976051676258</v>
      </c>
      <c r="O36" s="4" t="e">
        <v>#N/A</v>
      </c>
      <c r="P36" s="4" t="e">
        <v>#N/A</v>
      </c>
      <c r="Q36" s="4" t="e">
        <v>#N/A</v>
      </c>
      <c r="R36" s="4" t="e">
        <v>#N/A</v>
      </c>
      <c r="S36" s="4" t="e">
        <v>#N/A</v>
      </c>
      <c r="T36" s="4" t="e">
        <v>#N/A</v>
      </c>
      <c r="U36" s="4" t="e">
        <v>#N/A</v>
      </c>
      <c r="V36" s="4" t="e">
        <v>#N/A</v>
      </c>
      <c r="W36" s="4" t="e">
        <v>#N/A</v>
      </c>
      <c r="X36" s="4" t="e">
        <v>#N/A</v>
      </c>
      <c r="Y36" s="4" t="e">
        <v>#N/A</v>
      </c>
    </row>
    <row r="37" spans="3:25" x14ac:dyDescent="0.45">
      <c r="J37" s="6"/>
      <c r="K37" s="6"/>
      <c r="M37" s="4" t="str">
        <v>autocall strike 76 KO 100 CPN 36 6 periods of 1m</v>
      </c>
      <c r="N37" s="4">
        <v>0.96495976051676258</v>
      </c>
      <c r="O37" s="4" t="e">
        <v>#N/A</v>
      </c>
      <c r="P37" s="4" t="e">
        <v>#N/A</v>
      </c>
      <c r="Q37" s="4" t="e">
        <v>#N/A</v>
      </c>
      <c r="R37" s="4" t="e">
        <v>#N/A</v>
      </c>
      <c r="S37" s="4" t="e">
        <v>#N/A</v>
      </c>
      <c r="T37" s="4" t="e">
        <v>#N/A</v>
      </c>
      <c r="U37" s="4" t="e">
        <v>#N/A</v>
      </c>
      <c r="V37" s="4" t="e">
        <v>#N/A</v>
      </c>
      <c r="W37" s="4" t="e">
        <v>#N/A</v>
      </c>
      <c r="X37" s="4" t="e">
        <v>#N/A</v>
      </c>
      <c r="Y37" s="4" t="e">
        <v>#N/A</v>
      </c>
    </row>
    <row r="38" spans="3:25" x14ac:dyDescent="0.45">
      <c r="J38" s="6"/>
      <c r="K38" s="6"/>
      <c r="M38" s="26" t="str">
        <v>autocall strike 76 KO 100 CPN 36 6 periods of 1m</v>
      </c>
      <c r="N38" s="4">
        <v>0.96495976051676258</v>
      </c>
      <c r="O38" s="4" t="e">
        <v>#N/A</v>
      </c>
      <c r="P38" s="4" t="e">
        <v>#N/A</v>
      </c>
      <c r="Q38" s="4" t="e">
        <v>#N/A</v>
      </c>
      <c r="R38" s="4" t="e">
        <v>#N/A</v>
      </c>
      <c r="S38" s="4" t="e">
        <v>#N/A</v>
      </c>
      <c r="T38" s="4" t="e">
        <v>#N/A</v>
      </c>
      <c r="U38" s="4" t="e">
        <v>#N/A</v>
      </c>
      <c r="V38" s="4" t="e">
        <v>#N/A</v>
      </c>
      <c r="W38" s="4" t="e">
        <v>#N/A</v>
      </c>
      <c r="X38" s="4" t="e">
        <v>#N/A</v>
      </c>
      <c r="Y38" s="4" t="e">
        <v>#N/A</v>
      </c>
    </row>
    <row r="39" spans="3:25" x14ac:dyDescent="0.45">
      <c r="C39" s="4"/>
      <c r="D39" s="4"/>
      <c r="E39" s="4"/>
      <c r="F39" s="4"/>
      <c r="G39" s="4"/>
      <c r="H39" s="5"/>
      <c r="I39" s="6"/>
      <c r="J39" s="6"/>
      <c r="K39" s="6"/>
      <c r="M39" s="5" t="str">
        <v>autocall strike 76 KO 100 CPN 36 6 periods of 1m</v>
      </c>
      <c r="N39" s="4">
        <v>0.96495976051676258</v>
      </c>
      <c r="O39" s="4" t="e">
        <v>#N/A</v>
      </c>
      <c r="P39" s="4" t="e">
        <v>#N/A</v>
      </c>
      <c r="Q39" s="4" t="e">
        <v>#N/A</v>
      </c>
      <c r="R39" s="4" t="e">
        <v>#N/A</v>
      </c>
      <c r="S39" s="4" t="e">
        <v>#N/A</v>
      </c>
      <c r="T39" s="4" t="e">
        <v>#N/A</v>
      </c>
      <c r="U39" s="4" t="e">
        <v>#N/A</v>
      </c>
      <c r="V39" s="4" t="e">
        <v>#N/A</v>
      </c>
      <c r="W39" s="4" t="e">
        <v>#N/A</v>
      </c>
      <c r="X39" s="4" t="e">
        <v>#N/A</v>
      </c>
      <c r="Y39" s="4" t="e">
        <v>#N/A</v>
      </c>
    </row>
    <row r="40" spans="3:25" x14ac:dyDescent="0.45">
      <c r="C40" s="4"/>
      <c r="D40" s="4"/>
      <c r="E40" s="4"/>
      <c r="F40" s="4"/>
      <c r="G40" s="4"/>
      <c r="H40" s="5"/>
      <c r="I40" s="6"/>
      <c r="J40" s="6"/>
      <c r="K40" s="6"/>
      <c r="M40" s="4" t="str">
        <v>autocall strike 76 KO 100 CPN 36 6 periods of 1m</v>
      </c>
      <c r="N40" s="4">
        <v>0.96495976051676258</v>
      </c>
      <c r="O40" s="4" t="e">
        <v>#N/A</v>
      </c>
      <c r="P40" s="4" t="e">
        <v>#N/A</v>
      </c>
      <c r="Q40" s="4" t="e">
        <v>#N/A</v>
      </c>
      <c r="R40" s="4" t="e">
        <v>#N/A</v>
      </c>
      <c r="S40" s="4" t="e">
        <v>#N/A</v>
      </c>
      <c r="T40" s="4" t="e">
        <v>#N/A</v>
      </c>
      <c r="U40" s="4" t="e">
        <v>#N/A</v>
      </c>
      <c r="V40" s="4" t="e">
        <v>#N/A</v>
      </c>
      <c r="W40" s="4" t="e">
        <v>#N/A</v>
      </c>
      <c r="X40" s="4" t="e">
        <v>#N/A</v>
      </c>
      <c r="Y40" s="4" t="e">
        <v>#N/A</v>
      </c>
    </row>
    <row r="41" spans="3:25" x14ac:dyDescent="0.45">
      <c r="C41" s="4"/>
      <c r="D41" s="4"/>
      <c r="E41" s="4"/>
      <c r="F41" s="4"/>
      <c r="G41" s="4"/>
      <c r="H41" s="5"/>
      <c r="I41" s="6"/>
      <c r="J41" s="6"/>
      <c r="K41" s="6"/>
      <c r="M41" s="4" t="str">
        <v>autocall strike 76 KO 100 CPN 36 6 periods of 1m</v>
      </c>
      <c r="N41" s="4">
        <v>0.96495976051676258</v>
      </c>
      <c r="O41" s="4" t="e">
        <v>#N/A</v>
      </c>
      <c r="P41" s="4" t="e">
        <v>#N/A</v>
      </c>
      <c r="Q41" s="4" t="e">
        <v>#N/A</v>
      </c>
      <c r="R41" s="4" t="e">
        <v>#N/A</v>
      </c>
      <c r="S41" s="4" t="e">
        <v>#N/A</v>
      </c>
      <c r="T41" s="4" t="e">
        <v>#N/A</v>
      </c>
      <c r="U41" s="4" t="e">
        <v>#N/A</v>
      </c>
      <c r="V41" s="4" t="e">
        <v>#N/A</v>
      </c>
      <c r="W41" s="4" t="e">
        <v>#N/A</v>
      </c>
      <c r="X41" s="4" t="e">
        <v>#N/A</v>
      </c>
      <c r="Y41" s="4" t="e">
        <v>#N/A</v>
      </c>
    </row>
    <row r="42" spans="3:25" x14ac:dyDescent="0.45">
      <c r="C42" s="4"/>
      <c r="D42" s="4"/>
      <c r="E42" s="4"/>
      <c r="F42" s="4"/>
      <c r="G42" s="4"/>
      <c r="H42" s="5"/>
      <c r="I42" s="6"/>
      <c r="J42" s="6"/>
      <c r="K42" s="6"/>
      <c r="M42" s="4" t="str">
        <v>autocall strike 76 KO 100 CPN 36 6 periods of 1m</v>
      </c>
      <c r="N42" s="4">
        <v>0.96495976051676258</v>
      </c>
      <c r="O42" s="4" t="e">
        <v>#N/A</v>
      </c>
      <c r="P42" s="4" t="e">
        <v>#N/A</v>
      </c>
      <c r="Q42" s="4" t="e">
        <v>#N/A</v>
      </c>
      <c r="R42" s="4" t="e">
        <v>#N/A</v>
      </c>
      <c r="S42" s="4" t="e">
        <v>#N/A</v>
      </c>
      <c r="T42" s="4" t="e">
        <v>#N/A</v>
      </c>
      <c r="U42" s="4" t="e">
        <v>#N/A</v>
      </c>
      <c r="V42" s="4" t="e">
        <v>#N/A</v>
      </c>
      <c r="W42" s="4" t="e">
        <v>#N/A</v>
      </c>
      <c r="X42" s="4" t="e">
        <v>#N/A</v>
      </c>
      <c r="Y42" s="4" t="e">
        <v>#N/A</v>
      </c>
    </row>
    <row r="43" spans="3:25" x14ac:dyDescent="0.45">
      <c r="C43" s="4"/>
      <c r="D43" s="4"/>
      <c r="E43" s="4"/>
      <c r="F43" s="4"/>
      <c r="G43" s="4"/>
      <c r="H43" s="5"/>
      <c r="I43" s="6"/>
      <c r="J43" s="6"/>
      <c r="K43" s="6"/>
      <c r="M43" s="4" t="str">
        <v>autocall strike 76 KO 100 CPN 36 6 periods of 1m</v>
      </c>
      <c r="N43" s="4">
        <v>0.96495976051676258</v>
      </c>
      <c r="O43" s="4" t="e">
        <v>#N/A</v>
      </c>
      <c r="P43" s="4" t="e">
        <v>#N/A</v>
      </c>
      <c r="Q43" s="4" t="e">
        <v>#N/A</v>
      </c>
      <c r="R43" s="4" t="e">
        <v>#N/A</v>
      </c>
      <c r="S43" s="4" t="e">
        <v>#N/A</v>
      </c>
      <c r="T43" s="4" t="e">
        <v>#N/A</v>
      </c>
      <c r="U43" s="4" t="e">
        <v>#N/A</v>
      </c>
      <c r="V43" s="4" t="e">
        <v>#N/A</v>
      </c>
      <c r="W43" s="4" t="e">
        <v>#N/A</v>
      </c>
      <c r="X43" s="4" t="e">
        <v>#N/A</v>
      </c>
      <c r="Y43" s="4" t="e">
        <v>#N/A</v>
      </c>
    </row>
    <row r="44" spans="3:25" x14ac:dyDescent="0.45">
      <c r="C44" s="4"/>
      <c r="D44" s="4"/>
      <c r="E44" s="4"/>
      <c r="F44" s="4"/>
      <c r="G44" s="4"/>
      <c r="H44" s="5"/>
      <c r="I44" s="6"/>
      <c r="J44" s="6"/>
      <c r="K44" s="6"/>
      <c r="M44" s="4" t="str">
        <v>autocall strike 76 KO 100 CPN 36 6 periods of 1m</v>
      </c>
      <c r="N44" s="4">
        <v>0.96495976051676258</v>
      </c>
      <c r="O44" s="4" t="e">
        <v>#N/A</v>
      </c>
      <c r="P44" s="4" t="e">
        <v>#N/A</v>
      </c>
      <c r="Q44" s="4" t="e">
        <v>#N/A</v>
      </c>
      <c r="R44" s="4" t="e">
        <v>#N/A</v>
      </c>
      <c r="S44" s="4" t="e">
        <v>#N/A</v>
      </c>
      <c r="T44" s="4" t="e">
        <v>#N/A</v>
      </c>
      <c r="U44" s="4" t="e">
        <v>#N/A</v>
      </c>
      <c r="V44" s="4" t="e">
        <v>#N/A</v>
      </c>
      <c r="W44" s="4" t="e">
        <v>#N/A</v>
      </c>
      <c r="X44" s="4" t="e">
        <v>#N/A</v>
      </c>
      <c r="Y44" s="4" t="e">
        <v>#N/A</v>
      </c>
    </row>
    <row r="45" spans="3:25" x14ac:dyDescent="0.45">
      <c r="C45" s="4"/>
      <c r="D45" s="4"/>
      <c r="E45" s="4"/>
      <c r="F45" s="4"/>
      <c r="G45" s="4"/>
      <c r="H45" s="5"/>
      <c r="I45" s="6"/>
      <c r="J45" s="6"/>
      <c r="K45" s="6"/>
      <c r="M45" s="4" t="str">
        <v>autocall strike 76 KO 100 CPN 36 6 periods of 1m</v>
      </c>
      <c r="N45" s="4">
        <v>0.96495976051676258</v>
      </c>
      <c r="O45" s="4" t="e">
        <v>#N/A</v>
      </c>
      <c r="P45" s="4" t="e">
        <v>#N/A</v>
      </c>
      <c r="Q45" s="4" t="e">
        <v>#N/A</v>
      </c>
      <c r="R45" s="4" t="e">
        <v>#N/A</v>
      </c>
      <c r="S45" s="4" t="e">
        <v>#N/A</v>
      </c>
      <c r="T45" s="4" t="e">
        <v>#N/A</v>
      </c>
      <c r="U45" s="4" t="e">
        <v>#N/A</v>
      </c>
      <c r="V45" s="4" t="e">
        <v>#N/A</v>
      </c>
      <c r="W45" s="4" t="e">
        <v>#N/A</v>
      </c>
      <c r="X45" s="4" t="e">
        <v>#N/A</v>
      </c>
      <c r="Y45" s="4" t="e">
        <v>#N/A</v>
      </c>
    </row>
    <row r="46" spans="3:25" x14ac:dyDescent="0.45">
      <c r="C46" s="4"/>
      <c r="D46" s="4"/>
      <c r="E46" s="4"/>
      <c r="F46" s="4"/>
      <c r="G46" s="4"/>
      <c r="H46" s="5"/>
      <c r="I46" s="6"/>
      <c r="J46" s="6"/>
      <c r="K46" s="6"/>
      <c r="M46" s="4" t="str">
        <v>autocall strike 76 KO 100 CPN 36 6 periods of 1m</v>
      </c>
      <c r="N46" s="4">
        <v>0.96495976051676258</v>
      </c>
      <c r="O46" s="4" t="e">
        <v>#N/A</v>
      </c>
      <c r="P46" s="4" t="e">
        <v>#N/A</v>
      </c>
      <c r="Q46" s="4" t="e">
        <v>#N/A</v>
      </c>
      <c r="R46" s="4" t="e">
        <v>#N/A</v>
      </c>
      <c r="S46" s="4" t="e">
        <v>#N/A</v>
      </c>
      <c r="T46" s="4" t="e">
        <v>#N/A</v>
      </c>
      <c r="U46" s="4" t="e">
        <v>#N/A</v>
      </c>
      <c r="V46" s="4" t="e">
        <v>#N/A</v>
      </c>
      <c r="W46" s="4" t="e">
        <v>#N/A</v>
      </c>
      <c r="X46" s="4" t="e">
        <v>#N/A</v>
      </c>
      <c r="Y46" s="4" t="e">
        <v>#N/A</v>
      </c>
    </row>
    <row r="47" spans="3:25" x14ac:dyDescent="0.45">
      <c r="C47" s="4"/>
      <c r="D47" s="4"/>
      <c r="E47" s="4"/>
      <c r="F47" s="4"/>
      <c r="G47" s="4"/>
      <c r="H47" s="5"/>
      <c r="I47" s="6"/>
      <c r="J47" s="6"/>
      <c r="K47" s="6"/>
    </row>
    <row r="48" spans="3:25" x14ac:dyDescent="0.45">
      <c r="C48" s="4"/>
      <c r="D48" s="4"/>
      <c r="E48" s="4"/>
      <c r="F48" s="4"/>
      <c r="G48" s="4"/>
      <c r="H48" s="5"/>
      <c r="I48" s="6"/>
      <c r="J48" s="6"/>
      <c r="K48" s="6"/>
      <c r="M48" s="4" t="str">
        <f t="array" ref="M48:N104">_xll.xAADrisk(D16,D27,D28,TRUE,,,N19,N20)</f>
        <v>value</v>
      </c>
      <c r="N48" s="8">
        <v>0.96495976051676258</v>
      </c>
    </row>
    <row r="49" spans="3:14" x14ac:dyDescent="0.45">
      <c r="C49" s="4"/>
      <c r="D49" s="4"/>
      <c r="E49" s="4"/>
      <c r="F49" s="4"/>
      <c r="G49" s="4"/>
      <c r="H49" s="5"/>
      <c r="I49" s="6"/>
      <c r="J49" s="6"/>
      <c r="K49" s="6"/>
      <c r="L49">
        <v>0</v>
      </c>
      <c r="M49" t="str">
        <v>disc rate</v>
      </c>
      <c r="N49" s="23">
        <v>-0.11476085591875966</v>
      </c>
    </row>
    <row r="50" spans="3:14" x14ac:dyDescent="0.45">
      <c r="C50" s="4"/>
      <c r="D50" s="4"/>
      <c r="E50" s="4"/>
      <c r="F50" s="4"/>
      <c r="G50" s="4"/>
      <c r="H50" s="5"/>
      <c r="I50" s="6"/>
      <c r="J50" s="6"/>
      <c r="K50" s="6"/>
      <c r="L50">
        <v>1</v>
      </c>
      <c r="M50" t="str">
        <v>spot uber</v>
      </c>
      <c r="N50" s="8">
        <v>8.475353178541066E-4</v>
      </c>
    </row>
    <row r="51" spans="3:14" x14ac:dyDescent="0.45">
      <c r="C51" s="4"/>
      <c r="D51" s="4"/>
      <c r="E51" s="4"/>
      <c r="F51" s="4"/>
      <c r="G51" s="4"/>
      <c r="H51" s="5"/>
      <c r="I51" s="6"/>
      <c r="J51" s="6"/>
      <c r="K51" s="6"/>
      <c r="L51">
        <v>2</v>
      </c>
      <c r="M51" t="str">
        <v>spot lyft</v>
      </c>
      <c r="N51" s="30">
        <v>8.2817410998347479E-4</v>
      </c>
    </row>
    <row r="52" spans="3:14" x14ac:dyDescent="0.45">
      <c r="C52" s="4"/>
      <c r="D52" s="4"/>
      <c r="E52" s="4"/>
      <c r="F52" s="4"/>
      <c r="G52" s="4"/>
      <c r="H52" s="5"/>
      <c r="I52" s="6"/>
      <c r="J52" s="6"/>
      <c r="K52" s="6"/>
      <c r="L52">
        <v>3</v>
      </c>
      <c r="M52" t="str">
        <v>spot luckin</v>
      </c>
      <c r="N52" s="8">
        <v>4.3564639889824277E-3</v>
      </c>
    </row>
    <row r="53" spans="3:14" x14ac:dyDescent="0.45">
      <c r="C53" s="4"/>
      <c r="D53" s="4"/>
      <c r="E53" s="4"/>
      <c r="F53" s="4"/>
      <c r="G53" s="4"/>
      <c r="H53" s="5"/>
      <c r="I53" s="6"/>
      <c r="J53" s="6"/>
      <c r="K53" s="6"/>
      <c r="L53">
        <v>4</v>
      </c>
      <c r="M53" t="str">
        <v>repo spread uber</v>
      </c>
      <c r="N53" s="23">
        <v>-2.8580832709148987E-2</v>
      </c>
    </row>
    <row r="54" spans="3:14" x14ac:dyDescent="0.45">
      <c r="C54" s="4"/>
      <c r="D54" s="4"/>
      <c r="E54" s="4"/>
      <c r="F54" s="4"/>
      <c r="G54" s="4"/>
      <c r="H54" s="5"/>
      <c r="I54" s="6"/>
      <c r="J54" s="6"/>
      <c r="K54" s="6"/>
      <c r="L54">
        <v>5</v>
      </c>
      <c r="M54" t="str">
        <v>repo spread lyft</v>
      </c>
      <c r="N54" s="23">
        <v>-7.0428767478183302E-2</v>
      </c>
    </row>
    <row r="55" spans="3:14" x14ac:dyDescent="0.45">
      <c r="C55" s="4"/>
      <c r="D55" s="4"/>
      <c r="E55" s="4"/>
      <c r="F55" s="4"/>
      <c r="G55" s="4"/>
      <c r="H55" s="5"/>
      <c r="I55" s="6"/>
      <c r="J55" s="6"/>
      <c r="K55" s="6"/>
      <c r="L55">
        <v>6</v>
      </c>
      <c r="M55" t="str">
        <v>repo spread luckin</v>
      </c>
      <c r="N55" s="23">
        <v>-7.9014360190003879E-2</v>
      </c>
    </row>
    <row r="56" spans="3:14" x14ac:dyDescent="0.45">
      <c r="C56" s="4"/>
      <c r="D56" s="4"/>
      <c r="E56" s="4"/>
      <c r="F56" s="4"/>
      <c r="G56" s="4"/>
      <c r="H56" s="5"/>
      <c r="I56" s="6"/>
      <c r="J56" s="6"/>
      <c r="K56" s="6"/>
      <c r="L56">
        <v>7</v>
      </c>
      <c r="M56" t="str">
        <v>div uber 0.25</v>
      </c>
      <c r="N56" s="23">
        <v>-5.89291818494658E-2</v>
      </c>
    </row>
    <row r="57" spans="3:14" x14ac:dyDescent="0.45">
      <c r="C57" s="4"/>
      <c r="D57" s="4"/>
      <c r="E57" s="4"/>
      <c r="F57" s="4"/>
      <c r="G57" s="4"/>
      <c r="H57" s="5"/>
      <c r="I57" s="6"/>
      <c r="J57" s="6"/>
      <c r="K57" s="6"/>
      <c r="L57">
        <v>8</v>
      </c>
      <c r="M57" t="str">
        <v>div lyft 0.25</v>
      </c>
      <c r="N57" s="23">
        <v>-0.11769615504528574</v>
      </c>
    </row>
    <row r="58" spans="3:14" x14ac:dyDescent="0.45">
      <c r="C58" s="4"/>
      <c r="D58" s="4"/>
      <c r="E58" s="4"/>
      <c r="F58" s="4"/>
      <c r="G58" s="4"/>
      <c r="H58" s="5"/>
      <c r="I58" s="6"/>
      <c r="J58" s="6"/>
      <c r="K58" s="6"/>
      <c r="L58">
        <v>9</v>
      </c>
      <c r="M58" t="str">
        <v>div luckin 0.25</v>
      </c>
      <c r="N58" s="23">
        <v>-0.14837682083622528</v>
      </c>
    </row>
    <row r="59" spans="3:14" x14ac:dyDescent="0.45">
      <c r="C59" s="4"/>
      <c r="D59" s="4"/>
      <c r="E59" s="4"/>
      <c r="F59" s="4"/>
      <c r="G59" s="4"/>
      <c r="H59" s="5"/>
      <c r="I59" s="6"/>
      <c r="J59" s="6"/>
      <c r="K59" s="6"/>
      <c r="L59">
        <v>10</v>
      </c>
      <c r="M59" t="str">
        <v>div uber 0.75</v>
      </c>
      <c r="N59" s="23">
        <v>0</v>
      </c>
    </row>
    <row r="60" spans="3:14" x14ac:dyDescent="0.45">
      <c r="C60" s="4"/>
      <c r="D60" s="4"/>
      <c r="E60" s="4"/>
      <c r="F60" s="4"/>
      <c r="G60" s="4"/>
      <c r="H60" s="5"/>
      <c r="I60" s="6"/>
      <c r="J60" s="6"/>
      <c r="K60" s="6"/>
      <c r="L60">
        <v>11</v>
      </c>
      <c r="M60" t="str">
        <v>div lyft 0.75</v>
      </c>
      <c r="N60" s="23">
        <v>0</v>
      </c>
    </row>
    <row r="61" spans="3:14" x14ac:dyDescent="0.45">
      <c r="C61" s="4"/>
      <c r="D61" s="4"/>
      <c r="E61" s="4"/>
      <c r="F61" s="4"/>
      <c r="G61" s="4"/>
      <c r="H61" s="5"/>
      <c r="I61" s="6"/>
      <c r="J61" s="6"/>
      <c r="K61" s="6"/>
      <c r="L61">
        <v>12</v>
      </c>
      <c r="M61" t="str">
        <v>div luckin 0.75</v>
      </c>
      <c r="N61" s="23">
        <v>0</v>
      </c>
    </row>
    <row r="62" spans="3:14" x14ac:dyDescent="0.45">
      <c r="L62">
        <v>13</v>
      </c>
      <c r="M62" t="str">
        <v>ATM uber</v>
      </c>
      <c r="N62" s="23">
        <v>-7.2689795180755787E-2</v>
      </c>
    </row>
    <row r="63" spans="3:14" x14ac:dyDescent="0.45">
      <c r="L63" s="27">
        <v>14</v>
      </c>
      <c r="M63" s="27" t="str">
        <v>ATM lyft</v>
      </c>
      <c r="N63" s="28">
        <v>-0.15504777779332365</v>
      </c>
    </row>
    <row r="64" spans="3:14" x14ac:dyDescent="0.45">
      <c r="L64">
        <v>15</v>
      </c>
      <c r="M64" t="str">
        <v>ATM luckin</v>
      </c>
      <c r="N64" s="23">
        <v>-0.16802184695029396</v>
      </c>
    </row>
    <row r="65" spans="12:14" x14ac:dyDescent="0.45">
      <c r="L65">
        <v>16</v>
      </c>
      <c r="M65" t="str">
        <v>skew uber</v>
      </c>
      <c r="N65" s="25">
        <v>2.6636703664253428E-2</v>
      </c>
    </row>
    <row r="66" spans="12:14" x14ac:dyDescent="0.45">
      <c r="L66" s="27">
        <v>17</v>
      </c>
      <c r="M66" s="27" t="str">
        <v>skew lyft</v>
      </c>
      <c r="N66" s="29">
        <v>5.9137145144274053E-2</v>
      </c>
    </row>
    <row r="67" spans="12:14" x14ac:dyDescent="0.45">
      <c r="L67">
        <v>18</v>
      </c>
      <c r="M67" t="str">
        <v>skew luckin</v>
      </c>
      <c r="N67" s="23">
        <v>7.4092312588809106E-2</v>
      </c>
    </row>
    <row r="68" spans="12:14" x14ac:dyDescent="0.45">
      <c r="L68">
        <v>19</v>
      </c>
      <c r="M68" t="str">
        <v>correl lyft uber</v>
      </c>
      <c r="N68" s="23">
        <v>8.2534884478533601E-3</v>
      </c>
    </row>
    <row r="69" spans="12:14" x14ac:dyDescent="0.45">
      <c r="L69">
        <v>20</v>
      </c>
      <c r="M69" t="str">
        <v>correl luckin uber</v>
      </c>
      <c r="N69" s="23">
        <v>6.0410904294307304E-3</v>
      </c>
    </row>
    <row r="70" spans="12:14" x14ac:dyDescent="0.45">
      <c r="L70">
        <v>21</v>
      </c>
      <c r="M70" t="str">
        <v>correl luckin lyft</v>
      </c>
      <c r="N70" s="23">
        <v>1.7588752186493046E-2</v>
      </c>
    </row>
    <row r="71" spans="12:14" x14ac:dyDescent="0.45">
      <c r="L71">
        <v>22</v>
      </c>
      <c r="M71" t="str">
        <v>lambda</v>
      </c>
      <c r="N71" s="23">
        <v>3.0707491088887606E-2</v>
      </c>
    </row>
    <row r="72" spans="12:14" x14ac:dyDescent="0.45">
      <c r="M72" t="e">
        <v>#N/A</v>
      </c>
      <c r="N72" t="e">
        <v>#N/A</v>
      </c>
    </row>
    <row r="73" spans="12:14" x14ac:dyDescent="0.45">
      <c r="M73" t="e">
        <v>#N/A</v>
      </c>
      <c r="N73" t="e">
        <v>#N/A</v>
      </c>
    </row>
    <row r="74" spans="12:14" x14ac:dyDescent="0.45">
      <c r="M74" t="e">
        <v>#N/A</v>
      </c>
      <c r="N74" t="e">
        <v>#N/A</v>
      </c>
    </row>
    <row r="75" spans="12:14" x14ac:dyDescent="0.45">
      <c r="M75" t="e">
        <v>#N/A</v>
      </c>
      <c r="N75" t="e">
        <v>#N/A</v>
      </c>
    </row>
    <row r="76" spans="12:14" x14ac:dyDescent="0.45">
      <c r="M76" t="e">
        <v>#N/A</v>
      </c>
      <c r="N76" t="e">
        <v>#N/A</v>
      </c>
    </row>
    <row r="77" spans="12:14" x14ac:dyDescent="0.45">
      <c r="M77" t="e">
        <v>#N/A</v>
      </c>
      <c r="N77" t="e">
        <v>#N/A</v>
      </c>
    </row>
    <row r="78" spans="12:14" x14ac:dyDescent="0.45">
      <c r="M78" t="e">
        <v>#N/A</v>
      </c>
      <c r="N78" t="e">
        <v>#N/A</v>
      </c>
    </row>
    <row r="79" spans="12:14" x14ac:dyDescent="0.45">
      <c r="M79" t="e">
        <v>#N/A</v>
      </c>
      <c r="N79" t="e">
        <v>#N/A</v>
      </c>
    </row>
    <row r="80" spans="12:14" x14ac:dyDescent="0.45">
      <c r="M80" t="e">
        <v>#N/A</v>
      </c>
      <c r="N80" t="e">
        <v>#N/A</v>
      </c>
    </row>
    <row r="81" spans="13:14" x14ac:dyDescent="0.45">
      <c r="M81" t="e">
        <v>#N/A</v>
      </c>
      <c r="N81" t="e">
        <v>#N/A</v>
      </c>
    </row>
    <row r="82" spans="13:14" x14ac:dyDescent="0.45">
      <c r="M82" t="e">
        <v>#N/A</v>
      </c>
      <c r="N82" t="e">
        <v>#N/A</v>
      </c>
    </row>
    <row r="83" spans="13:14" x14ac:dyDescent="0.45">
      <c r="M83" t="e">
        <v>#N/A</v>
      </c>
      <c r="N83" t="e">
        <v>#N/A</v>
      </c>
    </row>
    <row r="84" spans="13:14" x14ac:dyDescent="0.45">
      <c r="M84" t="e">
        <v>#N/A</v>
      </c>
      <c r="N84" t="e">
        <v>#N/A</v>
      </c>
    </row>
    <row r="85" spans="13:14" x14ac:dyDescent="0.45">
      <c r="M85" t="e">
        <v>#N/A</v>
      </c>
      <c r="N85" t="e">
        <v>#N/A</v>
      </c>
    </row>
    <row r="86" spans="13:14" x14ac:dyDescent="0.45">
      <c r="M86" t="e">
        <v>#N/A</v>
      </c>
      <c r="N86" t="e">
        <v>#N/A</v>
      </c>
    </row>
    <row r="87" spans="13:14" x14ac:dyDescent="0.45">
      <c r="M87" t="e">
        <v>#N/A</v>
      </c>
      <c r="N87" t="e">
        <v>#N/A</v>
      </c>
    </row>
    <row r="88" spans="13:14" x14ac:dyDescent="0.45">
      <c r="M88" t="e">
        <v>#N/A</v>
      </c>
      <c r="N88" t="e">
        <v>#N/A</v>
      </c>
    </row>
    <row r="89" spans="13:14" x14ac:dyDescent="0.45">
      <c r="M89" t="e">
        <v>#N/A</v>
      </c>
      <c r="N89" t="e">
        <v>#N/A</v>
      </c>
    </row>
    <row r="90" spans="13:14" x14ac:dyDescent="0.45">
      <c r="M90" t="e">
        <v>#N/A</v>
      </c>
      <c r="N90" t="e">
        <v>#N/A</v>
      </c>
    </row>
    <row r="91" spans="13:14" x14ac:dyDescent="0.45">
      <c r="M91" t="e">
        <v>#N/A</v>
      </c>
      <c r="N91" t="e">
        <v>#N/A</v>
      </c>
    </row>
    <row r="92" spans="13:14" x14ac:dyDescent="0.45">
      <c r="M92" t="e">
        <v>#N/A</v>
      </c>
      <c r="N92" t="e">
        <v>#N/A</v>
      </c>
    </row>
    <row r="93" spans="13:14" x14ac:dyDescent="0.45">
      <c r="M93" t="e">
        <v>#N/A</v>
      </c>
      <c r="N93" t="e">
        <v>#N/A</v>
      </c>
    </row>
    <row r="94" spans="13:14" x14ac:dyDescent="0.45">
      <c r="M94" t="e">
        <v>#N/A</v>
      </c>
      <c r="N94" t="e">
        <v>#N/A</v>
      </c>
    </row>
    <row r="95" spans="13:14" x14ac:dyDescent="0.45">
      <c r="M95" t="e">
        <v>#N/A</v>
      </c>
      <c r="N95" t="e">
        <v>#N/A</v>
      </c>
    </row>
    <row r="96" spans="13:14" x14ac:dyDescent="0.45">
      <c r="M96" t="e">
        <v>#N/A</v>
      </c>
      <c r="N96" t="e">
        <v>#N/A</v>
      </c>
    </row>
    <row r="97" spans="13:14" x14ac:dyDescent="0.45">
      <c r="M97" t="e">
        <v>#N/A</v>
      </c>
      <c r="N97" t="e">
        <v>#N/A</v>
      </c>
    </row>
    <row r="98" spans="13:14" x14ac:dyDescent="0.45">
      <c r="M98" t="e">
        <v>#N/A</v>
      </c>
      <c r="N98" t="e">
        <v>#N/A</v>
      </c>
    </row>
    <row r="99" spans="13:14" x14ac:dyDescent="0.45">
      <c r="M99" t="e">
        <v>#N/A</v>
      </c>
      <c r="N99" t="e">
        <v>#N/A</v>
      </c>
    </row>
    <row r="100" spans="13:14" x14ac:dyDescent="0.45">
      <c r="M100" t="e">
        <v>#N/A</v>
      </c>
      <c r="N100" t="e">
        <v>#N/A</v>
      </c>
    </row>
    <row r="101" spans="13:14" x14ac:dyDescent="0.45">
      <c r="M101" t="e">
        <v>#N/A</v>
      </c>
      <c r="N101" t="e">
        <v>#N/A</v>
      </c>
    </row>
    <row r="102" spans="13:14" x14ac:dyDescent="0.45">
      <c r="M102" t="e">
        <v>#N/A</v>
      </c>
      <c r="N102" t="e">
        <v>#N/A</v>
      </c>
    </row>
    <row r="103" spans="13:14" x14ac:dyDescent="0.45">
      <c r="M103" t="e">
        <v>#N/A</v>
      </c>
      <c r="N103" t="e">
        <v>#N/A</v>
      </c>
    </row>
    <row r="104" spans="13:14" x14ac:dyDescent="0.45">
      <c r="M104" t="e">
        <v>#N/A</v>
      </c>
      <c r="N104" t="e">
        <v>#N/A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Sheet1 (2)</vt:lpstr>
      <vt:lpstr>Sheet1 (3)</vt:lpstr>
      <vt:lpstr>Sheet1 (4)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</dc:creator>
  <cp:lastModifiedBy>Bernardo David COHEN BERAUN</cp:lastModifiedBy>
  <dcterms:created xsi:type="dcterms:W3CDTF">2019-08-13T18:39:53Z</dcterms:created>
  <dcterms:modified xsi:type="dcterms:W3CDTF">2025-04-24T05:26:29Z</dcterms:modified>
</cp:coreProperties>
</file>